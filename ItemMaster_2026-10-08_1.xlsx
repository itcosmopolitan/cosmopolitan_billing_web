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46A755-6523-436E-B01C-09E06E3315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  <sheet name="Sheet1" sheetId="2" r:id="rId2"/>
  </sheets>
  <definedNames>
    <definedName name="_xlnm._FilterDatabase" localSheetId="0" hidden="1">Report!$A$1:$P$751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7" i="1" l="1"/>
  <c r="I380" i="1"/>
  <c r="I431" i="1"/>
  <c r="I421" i="1"/>
  <c r="I432" i="1"/>
  <c r="I426" i="1"/>
  <c r="I392" i="1"/>
  <c r="D7" i="2" l="1"/>
  <c r="I451" i="1"/>
  <c r="I447" i="1"/>
  <c r="J446" i="1"/>
  <c r="I464" i="1"/>
  <c r="I460" i="1"/>
  <c r="I461" i="1"/>
  <c r="I462" i="1"/>
  <c r="I459" i="1"/>
  <c r="Q30" i="1" l="1"/>
  <c r="Q67" i="1"/>
  <c r="Q66" i="1"/>
  <c r="Q65" i="1"/>
  <c r="Q63" i="1"/>
  <c r="Q62" i="1"/>
  <c r="Q61" i="1"/>
  <c r="Q60" i="1"/>
  <c r="Q59" i="1"/>
  <c r="Q58" i="1"/>
  <c r="Q57" i="1"/>
  <c r="Q56" i="1"/>
  <c r="Q54" i="1"/>
  <c r="Q53" i="1"/>
  <c r="Q52" i="1"/>
  <c r="Q50" i="1"/>
  <c r="Q49" i="1"/>
  <c r="Q48" i="1"/>
  <c r="Q47" i="1"/>
  <c r="Q46" i="1"/>
  <c r="Q44" i="1"/>
  <c r="Q43" i="1"/>
  <c r="Q42" i="1"/>
  <c r="Q41" i="1"/>
  <c r="Q40" i="1"/>
  <c r="Q39" i="1"/>
  <c r="Q38" i="1"/>
  <c r="Q37" i="1"/>
  <c r="Q36" i="1"/>
  <c r="Q35" i="1"/>
  <c r="Q33" i="1"/>
  <c r="Q32" i="1"/>
  <c r="Q31" i="1"/>
</calcChain>
</file>

<file path=xl/sharedStrings.xml><?xml version="1.0" encoding="utf-8"?>
<sst xmlns="http://schemas.openxmlformats.org/spreadsheetml/2006/main" count="3246" uniqueCount="1085">
  <si>
    <t>Name</t>
  </si>
  <si>
    <t>SKU</t>
  </si>
  <si>
    <t>Barcode</t>
  </si>
  <si>
    <t>Category</t>
  </si>
  <si>
    <t>Brand</t>
  </si>
  <si>
    <t>Unit</t>
  </si>
  <si>
    <t>Packing</t>
  </si>
  <si>
    <t>Cost Price</t>
  </si>
  <si>
    <t>Selling Price</t>
  </si>
  <si>
    <t>Wholesale Rate</t>
  </si>
  <si>
    <t>Staff Rate</t>
  </si>
  <si>
    <t>Tax Rate</t>
  </si>
  <si>
    <t>Reorder Level</t>
  </si>
  <si>
    <t>Batch Tracking</t>
  </si>
  <si>
    <t>Expiry Tracking</t>
  </si>
  <si>
    <t>Active</t>
  </si>
  <si>
    <t>Opening Stock - Cosmo Main Wearhouse</t>
  </si>
  <si>
    <t>Opening Batch Number - Cosmo Main Wearhouse</t>
  </si>
  <si>
    <t>Cost Price - Cosmo Main Wearhouse</t>
  </si>
  <si>
    <t>Selling Price - Cosmo Main Wearhouse</t>
  </si>
  <si>
    <t>Opening Stock - Shop HML Phase 01</t>
  </si>
  <si>
    <t>Opening Batch Number - Shop HML Phase 01</t>
  </si>
  <si>
    <t>Cost Price - Shop HML Phase 01</t>
  </si>
  <si>
    <t>Selling Price - Shop HML Phase 01</t>
  </si>
  <si>
    <t>Opening Stock - Shop HML Phase 02</t>
  </si>
  <si>
    <t>Opening Batch Number - Shop HML Phase 02</t>
  </si>
  <si>
    <t>Cost Price - Shop HML Phase 02</t>
  </si>
  <si>
    <t>Selling Price - Shop HML Phase 02</t>
  </si>
  <si>
    <t>Opening Stock - Shop Male'</t>
  </si>
  <si>
    <t>Opening Batch Number - Shop Male'</t>
  </si>
  <si>
    <t>Cost Price - Shop Male'</t>
  </si>
  <si>
    <t>Selling Price - Shop Male'</t>
  </si>
  <si>
    <t>320ML RED BULL (L)</t>
  </si>
  <si>
    <t/>
  </si>
  <si>
    <t>LOCAL PURCHASE</t>
  </si>
  <si>
    <t>TIN</t>
  </si>
  <si>
    <t>24x320 ML</t>
  </si>
  <si>
    <t>AJINOMOTO 50X350G (L)</t>
  </si>
  <si>
    <t>PKT</t>
  </si>
  <si>
    <t>50x350GM</t>
  </si>
  <si>
    <t>ALMOND FLAKES 1KG</t>
  </si>
  <si>
    <t>DRY FOODS</t>
  </si>
  <si>
    <t>KG</t>
  </si>
  <si>
    <t>1x15KG</t>
  </si>
  <si>
    <t>ALMOND PASTE</t>
  </si>
  <si>
    <t>1x5KG</t>
  </si>
  <si>
    <t>ALMOND POWDER</t>
  </si>
  <si>
    <t>1x1KG</t>
  </si>
  <si>
    <t>ALMOND WHOLE</t>
  </si>
  <si>
    <t>ALUMINIUM FOIL</t>
  </si>
  <si>
    <t>NON FOOD</t>
  </si>
  <si>
    <t>NOS</t>
  </si>
  <si>
    <t>1x300MTR</t>
  </si>
  <si>
    <t>APPLE GREEN 135C (L)</t>
  </si>
  <si>
    <t>1x135NOS</t>
  </si>
  <si>
    <t>APPLE RED 135 C (L)</t>
  </si>
  <si>
    <t>Apricot Dry 250gm</t>
  </si>
  <si>
    <t>SKU-269CCD</t>
  </si>
  <si>
    <t>Pcs</t>
  </si>
  <si>
    <t>ARTICHOKE HEART</t>
  </si>
  <si>
    <t>10x1KG</t>
  </si>
  <si>
    <t>ASPARAGUS 430GM</t>
  </si>
  <si>
    <t>24x430GM</t>
  </si>
  <si>
    <t>ATTA FLOUR (L)</t>
  </si>
  <si>
    <t>AVACADO FRESH (L)</t>
  </si>
  <si>
    <t>RANDOM</t>
  </si>
  <si>
    <t>BABY CARROT FROZEN</t>
  </si>
  <si>
    <t>FROZEN VEGETABLE</t>
  </si>
  <si>
    <t>4x2.5KG</t>
  </si>
  <si>
    <t>BAG (L)</t>
  </si>
  <si>
    <t>1x50NOS</t>
  </si>
  <si>
    <t>BAKED BEANS 400G (L)</t>
  </si>
  <si>
    <t>24x400GM</t>
  </si>
  <si>
    <t>BAKED BEANS MARA 2.65KG</t>
  </si>
  <si>
    <t>6x2.65KG</t>
  </si>
  <si>
    <t>BAKING PAPER</t>
  </si>
  <si>
    <t>SKU-8675D1</t>
  </si>
  <si>
    <t>24x10M</t>
  </si>
  <si>
    <t>BAKING PAPER BIG</t>
  </si>
  <si>
    <t>SKU-F60D7E</t>
  </si>
  <si>
    <t>6x50Mx45CM</t>
  </si>
  <si>
    <t>BAKING POWDER 250GM (L)</t>
  </si>
  <si>
    <t>60x250GM</t>
  </si>
  <si>
    <t>BAKING POWDER 450 GM</t>
  </si>
  <si>
    <t>18x450GM</t>
  </si>
  <si>
    <t>BAKING SODA</t>
  </si>
  <si>
    <t>1x500GM</t>
  </si>
  <si>
    <t>BAMBOO SHOOTS</t>
  </si>
  <si>
    <t>24x625GM</t>
  </si>
  <si>
    <t>BANANA FRESH (L)</t>
  </si>
  <si>
    <t>BAY LEAF</t>
  </si>
  <si>
    <t>BEAN GREEN FRESH (L)</t>
  </si>
  <si>
    <t>BEANS SPROUT</t>
  </si>
  <si>
    <t>BEEF BACON 01KG</t>
  </si>
  <si>
    <t>BEEF</t>
  </si>
  <si>
    <t>12x1KG</t>
  </si>
  <si>
    <t>BEEF BONES (AUS)</t>
  </si>
  <si>
    <t>BEEF BRISKET</t>
  </si>
  <si>
    <t>BEEF BURGER</t>
  </si>
  <si>
    <t>01x2KG</t>
  </si>
  <si>
    <t>BEEF CHUNK (L)</t>
  </si>
  <si>
    <t>20x900GM</t>
  </si>
  <si>
    <t>BEEF CHUNK 900G</t>
  </si>
  <si>
    <t>BEEF CUBROLL (AUS)</t>
  </si>
  <si>
    <t>BEEF CUBROLL (BRZ)</t>
  </si>
  <si>
    <t>BEEF FLANK STEAK MIDFIELD</t>
  </si>
  <si>
    <t>BEEF HAM 1.5KG</t>
  </si>
  <si>
    <t>1x1.5KG</t>
  </si>
  <si>
    <t>BEEF LIVER (AUS)</t>
  </si>
  <si>
    <t>BEEF MEAT BALLS</t>
  </si>
  <si>
    <t>BEEF MINCE (AUS)</t>
  </si>
  <si>
    <t>BEEF MINCE (IND)</t>
  </si>
  <si>
    <t>1x450G</t>
  </si>
  <si>
    <t>BEEF MORTADELLA</t>
  </si>
  <si>
    <t>BEEF MORTADELLA (L)</t>
  </si>
  <si>
    <t>BEEF PASTRAMI</t>
  </si>
  <si>
    <t>6x2.6KG</t>
  </si>
  <si>
    <t>BEEF PEPPERONI</t>
  </si>
  <si>
    <t>8x1KG</t>
  </si>
  <si>
    <t>BEEF SALAMI 1KG</t>
  </si>
  <si>
    <t>1x1 KG</t>
  </si>
  <si>
    <t>BEEF SAUSAGE HOT DOG 400G</t>
  </si>
  <si>
    <t>30x400G</t>
  </si>
  <si>
    <t>BEEF SAUSAGES</t>
  </si>
  <si>
    <t>BEEF SAUSAGES (L)</t>
  </si>
  <si>
    <t>BEEF SHORT RIBS (AUS)</t>
  </si>
  <si>
    <t>BEEF SHORT RIBS (BRZ)</t>
  </si>
  <si>
    <t>BEEF SMOKED</t>
  </si>
  <si>
    <t>BEEF STOCK (L)</t>
  </si>
  <si>
    <t>6x1.5KG</t>
  </si>
  <si>
    <t>BEEF STRIPLOIN (AUS)</t>
  </si>
  <si>
    <t>BEEF STRIPLOIN (BRZ)</t>
  </si>
  <si>
    <t>BEEF STRIPLOIN (IND)</t>
  </si>
  <si>
    <t>1x20KG</t>
  </si>
  <si>
    <t>BEEF STRIPLOIN BLACK ANGUS</t>
  </si>
  <si>
    <t>BEEF TAIL (AUS)</t>
  </si>
  <si>
    <t>BEEF TENDERLOIN (AUS)</t>
  </si>
  <si>
    <t>BEEF TENDERLOIN (BRZ)</t>
  </si>
  <si>
    <t>BEEF TENDERLOIN (IND)</t>
  </si>
  <si>
    <t>01x18KG</t>
  </si>
  <si>
    <t>BEEF TENDERLOIN (L)</t>
  </si>
  <si>
    <t>BEEF TOPSIDE (AUS)</t>
  </si>
  <si>
    <t>BEEF TOPSIDE (BRZ)</t>
  </si>
  <si>
    <t>BEEF TOPSIDE (IND)</t>
  </si>
  <si>
    <t>01x20KG</t>
  </si>
  <si>
    <t>BEEF TOPSIDE IND (L)</t>
  </si>
  <si>
    <t>BEETROOT FRESH (L)</t>
  </si>
  <si>
    <t>BELL PEPPER GREEN FRESH (L)</t>
  </si>
  <si>
    <t>BELL PEPPER RED (L)</t>
  </si>
  <si>
    <t>BIRIYANI MASALA (L)</t>
  </si>
  <si>
    <t>1x100GM</t>
  </si>
  <si>
    <t>BISCUITES (L)</t>
  </si>
  <si>
    <t>BITTER GOURD (L)</t>
  </si>
  <si>
    <t>BITTER LEMON 320ML (L)</t>
  </si>
  <si>
    <t>24x320ML</t>
  </si>
  <si>
    <t>BLACK BEAN SEED</t>
  </si>
  <si>
    <t>BLACK CHANA</t>
  </si>
  <si>
    <t>BLACK GRAPES (L)</t>
  </si>
  <si>
    <t>BODY LOTION NIVEA (L)</t>
  </si>
  <si>
    <t>BTL</t>
  </si>
  <si>
    <t>BOTTLE GOURD (L)</t>
  </si>
  <si>
    <t>BREAD CRUMS PANKO 1KG</t>
  </si>
  <si>
    <t>BREAD CRUMS PANKO 500GM</t>
  </si>
  <si>
    <t>BREAD CRUMS YOWE 1KG</t>
  </si>
  <si>
    <t>BROCCOLI FRESH (L)</t>
  </si>
  <si>
    <t>BROCCOLI FROZEN</t>
  </si>
  <si>
    <t>BROCCOLI FROZEN (L)</t>
  </si>
  <si>
    <t>BURGER PATTY -  SPICY PANEER</t>
  </si>
  <si>
    <t>BURGER PATTY - VEGETARIAN</t>
  </si>
  <si>
    <t>BUTTER PORTION UNSALTED</t>
  </si>
  <si>
    <t>DIARY</t>
  </si>
  <si>
    <t>CASE</t>
  </si>
  <si>
    <t>120x8GM</t>
  </si>
  <si>
    <t>BUTTER UNSALTED 200GM</t>
  </si>
  <si>
    <t>50x200GM</t>
  </si>
  <si>
    <t>BUTTER UNSALTED BLOCK</t>
  </si>
  <si>
    <t>1x25KG</t>
  </si>
  <si>
    <t>BUTTER UNSALTED BLOCK (L)</t>
  </si>
  <si>
    <t>BUTTER UNSLTED ANCHOR 5KG</t>
  </si>
  <si>
    <t>4x5KG</t>
  </si>
  <si>
    <t>CABBAGE RED (L)</t>
  </si>
  <si>
    <t>CABBAGE WHITE FRESH (L)</t>
  </si>
  <si>
    <t>CAGE FREE EGG</t>
  </si>
  <si>
    <t>POULTRY</t>
  </si>
  <si>
    <t>1x360NOS</t>
  </si>
  <si>
    <t>CAKE MIX CHOCOLATE (L)</t>
  </si>
  <si>
    <t>12x485GM</t>
  </si>
  <si>
    <t>CAKE MIX VANILLA (L)</t>
  </si>
  <si>
    <t>CAPSICUM (L)</t>
  </si>
  <si>
    <t>CARDEMON</t>
  </si>
  <si>
    <t>CARROT FRESH (L)</t>
  </si>
  <si>
    <t>CASHEWNUT</t>
  </si>
  <si>
    <t>CASHEWNUT R/BROKEN 1KG</t>
  </si>
  <si>
    <t>CAULIFLOWER FRESH (L)</t>
  </si>
  <si>
    <t>CAULIFLOWER FROZEN</t>
  </si>
  <si>
    <t>CAULIFLOWER FROZEN (L)</t>
  </si>
  <si>
    <t>CELERY FRESH (L)</t>
  </si>
  <si>
    <t>CHANNA DHAL</t>
  </si>
  <si>
    <t>CHARCOL</t>
  </si>
  <si>
    <t>SKU-BDCD6E</t>
  </si>
  <si>
    <t>1X10KG</t>
  </si>
  <si>
    <t>CHEESE CHEDAR</t>
  </si>
  <si>
    <t>CHEESE CREAM 1.5 KG</t>
  </si>
  <si>
    <t>4x1.5KG</t>
  </si>
  <si>
    <t>CHEESE EDAM</t>
  </si>
  <si>
    <t>CHEESE EMMENTHAL</t>
  </si>
  <si>
    <t>CHEESE GOUDA</t>
  </si>
  <si>
    <t>CHEESE GRANAPADANO</t>
  </si>
  <si>
    <t>CHEESE MOZZARELLA</t>
  </si>
  <si>
    <t>1x9.29KG</t>
  </si>
  <si>
    <t>CHEESE MOZZARELLA (L)</t>
  </si>
  <si>
    <t>CHEESE PARMESAN GRATED</t>
  </si>
  <si>
    <t>CHEESE SLICED 200GM</t>
  </si>
  <si>
    <t>Friendship</t>
  </si>
  <si>
    <t>24x200GM</t>
  </si>
  <si>
    <t>CHICK PEAS 25KG BAG</t>
  </si>
  <si>
    <t>CHICK PEAS 400GM (L)</t>
  </si>
  <si>
    <t>24X400GM</t>
  </si>
  <si>
    <t>CHICK PEAS MARA 2.5KG</t>
  </si>
  <si>
    <t>6x2.5KG</t>
  </si>
  <si>
    <t>CHICKEN BACON</t>
  </si>
  <si>
    <t>CHICKEN BACON (L)</t>
  </si>
  <si>
    <t>1X1KG</t>
  </si>
  <si>
    <t>CHICKEN BREAST 2KG (BRAZIL)</t>
  </si>
  <si>
    <t>6x2KG</t>
  </si>
  <si>
    <t>CHICKEN BREAST 2KG (CHINA)</t>
  </si>
  <si>
    <t>CHICKEN BREAST SMOKED-GILLS 1KG</t>
  </si>
  <si>
    <t>CHICKEN BURGER</t>
  </si>
  <si>
    <t>1X2KG</t>
  </si>
  <si>
    <t>CHICKEN CUT</t>
  </si>
  <si>
    <t>10x900GM</t>
  </si>
  <si>
    <t>CHICKEN DRUMSTICK 900G</t>
  </si>
  <si>
    <t>12x900GM</t>
  </si>
  <si>
    <t>CHICKEN DRUMSTICK 900G (L)</t>
  </si>
  <si>
    <t>CHICKEN FINGERS</t>
  </si>
  <si>
    <t>CHICKEN GIZZARD</t>
  </si>
  <si>
    <t>20x450GM</t>
  </si>
  <si>
    <t>CHICKEN GIZZARD 1KG (L)</t>
  </si>
  <si>
    <t>CHICKEN HAM</t>
  </si>
  <si>
    <t>8x1.5KG</t>
  </si>
  <si>
    <t>CHICKEN LEG BONELESS</t>
  </si>
  <si>
    <t>CHICKEN LEG QUARTER</t>
  </si>
  <si>
    <t>CHICKEN LIVER 450G</t>
  </si>
  <si>
    <t>CHICKEN MASALA POWDER (L)</t>
  </si>
  <si>
    <t>1X100GM</t>
  </si>
  <si>
    <t>CHICKEN MEAT BALL</t>
  </si>
  <si>
    <t>CHICKEN MORTADELLA</t>
  </si>
  <si>
    <t>CHICKEN MORTADELLA (L)</t>
  </si>
  <si>
    <t>CHICKEN NUGGETS</t>
  </si>
  <si>
    <t>CHICKEN NUGGETS 750GM</t>
  </si>
  <si>
    <t>10x750GM</t>
  </si>
  <si>
    <t>CHICKEN PEPPERONI</t>
  </si>
  <si>
    <t>10x500GM</t>
  </si>
  <si>
    <t>CHICKEN SALAMI</t>
  </si>
  <si>
    <t>5x1KG</t>
  </si>
  <si>
    <t>CHICKEN SAMOSA</t>
  </si>
  <si>
    <t>CHICKEN SAUSAGE (L)</t>
  </si>
  <si>
    <t>24x340GM</t>
  </si>
  <si>
    <t>CHICKEN SAUSAGE BOCKWURST (L)</t>
  </si>
  <si>
    <t>CHICKEN SAUSAGE BOCKWURST GILLS</t>
  </si>
  <si>
    <t>CHICKEN SAUSAGE CHEESE &amp; ONIAN</t>
  </si>
  <si>
    <t>CHICKEN SAUSAGE CHEESE &amp; ONION (L)</t>
  </si>
  <si>
    <t>CHICKEN SAUSAGE GARLIC</t>
  </si>
  <si>
    <t>8X1KG</t>
  </si>
  <si>
    <t>CHICKEN SAUSAGE GURME</t>
  </si>
  <si>
    <t>CHICKEN SAUSAGE HOTDOGS</t>
  </si>
  <si>
    <t>CHICKEN SAUSAGE PERDIX</t>
  </si>
  <si>
    <t>CHICKEN SPRING ROLL</t>
  </si>
  <si>
    <t>4x1.25KGM</t>
  </si>
  <si>
    <t>CHICKEN STOCK POWDER 1KG (L)</t>
  </si>
  <si>
    <t>CHICKEN THIGH B/LESS</t>
  </si>
  <si>
    <t>CHICKEN THIGH B/LESS CHINA</t>
  </si>
  <si>
    <t>SKU-596416</t>
  </si>
  <si>
    <t>Kg</t>
  </si>
  <si>
    <t>6X2kg</t>
  </si>
  <si>
    <t>CHICKEN THIGH BONE IN</t>
  </si>
  <si>
    <t>1X10.8KG</t>
  </si>
  <si>
    <t>CHICKEN THIGH BONELESS (BRA)</t>
  </si>
  <si>
    <t>SKU-C8C2DA</t>
  </si>
  <si>
    <t>CHICKEN WHOLE 1000G</t>
  </si>
  <si>
    <t>10x1000GM</t>
  </si>
  <si>
    <t>CHICKEN WHOLE 1000G (L)</t>
  </si>
  <si>
    <t>10x1000G</t>
  </si>
  <si>
    <t>CHICKEN WHOLE 1100G</t>
  </si>
  <si>
    <t>10x1100GM</t>
  </si>
  <si>
    <t>CHICKEN WHOLE 1200G</t>
  </si>
  <si>
    <t>10x1200GM</t>
  </si>
  <si>
    <t>CHICKEN WHOLE 1200G (L)</t>
  </si>
  <si>
    <t>10x1200G</t>
  </si>
  <si>
    <t>CHICKEN WHOLE 1300G</t>
  </si>
  <si>
    <t>10x1300GM</t>
  </si>
  <si>
    <t>CHICKEN WHOLE 1400G</t>
  </si>
  <si>
    <t>10x1400GM</t>
  </si>
  <si>
    <t>CHICKEN WHOLE 900G</t>
  </si>
  <si>
    <t>CHICKEN WHOLE 900G (L)</t>
  </si>
  <si>
    <t>CHICKEN WINGS 2KG (L)</t>
  </si>
  <si>
    <t>5x2KG</t>
  </si>
  <si>
    <t>CHICKEN WINGS 900G</t>
  </si>
  <si>
    <t>CHILLI FLAKES</t>
  </si>
  <si>
    <t>CHILLI FLAKES 1KG (L)</t>
  </si>
  <si>
    <t>CHILLI POWDER 1KG</t>
  </si>
  <si>
    <t>CHINESE CABBAGE (L)</t>
  </si>
  <si>
    <t>CHOCOLATE (L)</t>
  </si>
  <si>
    <t>CINNAMON POWDER</t>
  </si>
  <si>
    <t>CINNAMON STICK 1KG (L)</t>
  </si>
  <si>
    <t>CINNAMON STICK 500GM</t>
  </si>
  <si>
    <t>CLING FILM</t>
  </si>
  <si>
    <t>SKU-8B477E</t>
  </si>
  <si>
    <t>6x300ML</t>
  </si>
  <si>
    <t>CLING FILM (L)</t>
  </si>
  <si>
    <t>6x300MI</t>
  </si>
  <si>
    <t>CLOVES (L)</t>
  </si>
  <si>
    <t>COCA COLA 320ML (L)</t>
  </si>
  <si>
    <t>COCOA POWDER 1KG</t>
  </si>
  <si>
    <t>COCONUT DESICCATED 1KG</t>
  </si>
  <si>
    <t>COCONUT FRESH (L)</t>
  </si>
  <si>
    <t>COCONUT MILK 1LTR (L)</t>
  </si>
  <si>
    <t>12x1LTR</t>
  </si>
  <si>
    <t>COCONUT MILK 24 X 400 ML</t>
  </si>
  <si>
    <t>24x400ML</t>
  </si>
  <si>
    <t>COCONUT MILK POWDER 1KG (L)</t>
  </si>
  <si>
    <t>COFFEE INSTANT CLASSIC 200GM</t>
  </si>
  <si>
    <t>10x190GM</t>
  </si>
  <si>
    <t>COFFEE INSTANT GOLD 190GM</t>
  </si>
  <si>
    <t>6x190GM</t>
  </si>
  <si>
    <t>COFFEE INSTANT ORIGINAL 200GM</t>
  </si>
  <si>
    <t>12x200GM</t>
  </si>
  <si>
    <t>COFFEE NESCAFE CLASSIC 500G (L)</t>
  </si>
  <si>
    <t>12x500GM</t>
  </si>
  <si>
    <t>CONDENSED MILK 48 X 380GM (L)</t>
  </si>
  <si>
    <t>48x380GM</t>
  </si>
  <si>
    <t>COOKING CHOCOLATE DARK 2.5KG</t>
  </si>
  <si>
    <t>COOKING CHOCOLATE WHITE</t>
  </si>
  <si>
    <t>COOKING FUEL</t>
  </si>
  <si>
    <t>SKU-041C5A</t>
  </si>
  <si>
    <t>72x250ML</t>
  </si>
  <si>
    <t>COOKING OIL 18LTR</t>
  </si>
  <si>
    <t>1x18LTR</t>
  </si>
  <si>
    <t>COOKING OIL 18LTR (L)</t>
  </si>
  <si>
    <t>CAN</t>
  </si>
  <si>
    <t>CORN BABY 425G (L)</t>
  </si>
  <si>
    <t>24x425GM</t>
  </si>
  <si>
    <t>CORN FLOUR 400GM</t>
  </si>
  <si>
    <t>40x400GM</t>
  </si>
  <si>
    <t>CORN FLOUR 500GM (L)</t>
  </si>
  <si>
    <t>24x500GM</t>
  </si>
  <si>
    <t>CORN OIL</t>
  </si>
  <si>
    <t>6x2LTR</t>
  </si>
  <si>
    <t>CORN OIL (L)</t>
  </si>
  <si>
    <t>6x1.8LTR</t>
  </si>
  <si>
    <t>CORN ON THE COB FROZEN</t>
  </si>
  <si>
    <t>CORRIANDER POWDER (L)</t>
  </si>
  <si>
    <t>CORRIANDER POWDER 1KG</t>
  </si>
  <si>
    <t>CORRIANDER SEEDS 1KG</t>
  </si>
  <si>
    <t>COUS COUS MARA 500GM</t>
  </si>
  <si>
    <t>20x500GM</t>
  </si>
  <si>
    <t>CRAB IMITATION STICKS 1KG</t>
  </si>
  <si>
    <t>SEA FOODS</t>
  </si>
  <si>
    <t>CREAM OF CHICKEN SOUP (L)</t>
  </si>
  <si>
    <t>6x720GM</t>
  </si>
  <si>
    <t>CREAM OF MUSHROOM SOUP (L)</t>
  </si>
  <si>
    <t>6x700GM</t>
  </si>
  <si>
    <t>CREAM STYLE CORN 425GM</t>
  </si>
  <si>
    <t>CROP'S IQF CULTIVATED BLUEBERRY</t>
  </si>
  <si>
    <t>FROZEN FRUIT</t>
  </si>
  <si>
    <t>CROP'S IQF EUROPEAN WILD BLUEBERRY</t>
  </si>
  <si>
    <t>CROP'S IQF FERTODI RASPBERRY</t>
  </si>
  <si>
    <t>6x500GM</t>
  </si>
  <si>
    <t>CROP'S IQF STAWBERRY 300G</t>
  </si>
  <si>
    <t>6x300GM</t>
  </si>
  <si>
    <t>CROP'S IQF STRAWBERRY HALVES 32/36</t>
  </si>
  <si>
    <t>CUCUMBER GREEN FREESH (L)</t>
  </si>
  <si>
    <t>CUMIN POWDER 1KG</t>
  </si>
  <si>
    <t>CUMIN POWDER 1KG (L)</t>
  </si>
  <si>
    <t>CUMIN SEED 1KG</t>
  </si>
  <si>
    <t>CURRY POWDER (L)</t>
  </si>
  <si>
    <t>CUSTARD POWDER 285GM</t>
  </si>
  <si>
    <t>36x285GM</t>
  </si>
  <si>
    <t>CUSTARD POWDER 500GM (L)</t>
  </si>
  <si>
    <t>24 X 500GM</t>
  </si>
  <si>
    <t>DAIRY STAR MILK FULLCREAM 01LTR</t>
  </si>
  <si>
    <t>DAIRYSTAR  MILK POWDER DAIRYSTAR 1.8KG</t>
  </si>
  <si>
    <t>6x1.8 KG</t>
  </si>
  <si>
    <t>DAIRYSTAR MILK LOW FAT 01LTR</t>
  </si>
  <si>
    <t>DAIRYSTAR MILK POWDER  2.5KG</t>
  </si>
  <si>
    <t>6x2.5 KG</t>
  </si>
  <si>
    <t>DATES</t>
  </si>
  <si>
    <t>1x650GM</t>
  </si>
  <si>
    <t>DATES 1 KG</t>
  </si>
  <si>
    <t>DATES 10 KG</t>
  </si>
  <si>
    <t>1x10KG</t>
  </si>
  <si>
    <t>DATES 5 KG</t>
  </si>
  <si>
    <t>DEMI GLAZE BROWN SAUCE MIX (L)</t>
  </si>
  <si>
    <t>6x1KG</t>
  </si>
  <si>
    <t>DETTOL (L)</t>
  </si>
  <si>
    <t>4x5LTR</t>
  </si>
  <si>
    <t>DIET COKE 320ML (L)</t>
  </si>
  <si>
    <t>DOSA MIX POWDER 500GM (L)</t>
  </si>
  <si>
    <t>DRIED APRICOTS</t>
  </si>
  <si>
    <t>DRIED APRICOTS (L)</t>
  </si>
  <si>
    <t>DUCK BREAST</t>
  </si>
  <si>
    <t>FROZEN MEAT</t>
  </si>
  <si>
    <t>DUCK BREAST SMOKED</t>
  </si>
  <si>
    <t>DUCK WHOLE (L)</t>
  </si>
  <si>
    <t>6x1.8KG</t>
  </si>
  <si>
    <t>DUCK WHOLE 2.2KG</t>
  </si>
  <si>
    <t>6x2.2KG</t>
  </si>
  <si>
    <t>EGG BROWN (L)</t>
  </si>
  <si>
    <t>EGG BROWN 55G</t>
  </si>
  <si>
    <t>EGG</t>
  </si>
  <si>
    <t>1x360PCS</t>
  </si>
  <si>
    <t>EGG PLANT (L)</t>
  </si>
  <si>
    <t>EGG WHITE</t>
  </si>
  <si>
    <t>EGG WHITE (L)</t>
  </si>
  <si>
    <t>1x210NOS</t>
  </si>
  <si>
    <t>FAN JUICE APPLE 01LTR</t>
  </si>
  <si>
    <t>BEVERAGE</t>
  </si>
  <si>
    <t>FAN</t>
  </si>
  <si>
    <t>FAN JUICE CRANBERRY 01LTR</t>
  </si>
  <si>
    <t>FAN JUICE GRAPEFRUIT 01LTR</t>
  </si>
  <si>
    <t>FAN JUICE GUAVA 01LTR</t>
  </si>
  <si>
    <t>FAN JUICE MANGO 01LTR</t>
  </si>
  <si>
    <t>FAN JUICE ORANGE 01LTR</t>
  </si>
  <si>
    <t>FAN JUICE PASSION FRUIT 01LTR</t>
  </si>
  <si>
    <t>FAN JUICE PINEAPPLE 01LTR</t>
  </si>
  <si>
    <t>FAN JUICE POMEGRANATE 01LTR</t>
  </si>
  <si>
    <t>FAN JUICE RED GRAPE 01LTR</t>
  </si>
  <si>
    <t>FAN JUICE TOMATO 01LTR</t>
  </si>
  <si>
    <t>FAN JUICE TROPICAL 01LTR</t>
  </si>
  <si>
    <t>FANTA 320ML (L)</t>
  </si>
  <si>
    <t>FENNEL SEED (L)</t>
  </si>
  <si>
    <t>FENUGREEK SEED (L)</t>
  </si>
  <si>
    <t>Figs Dried 250GRM</t>
  </si>
  <si>
    <t>SKU-694205</t>
  </si>
  <si>
    <t>FISH BALLS FROZEN</t>
  </si>
  <si>
    <t>FISH SAUCE</t>
  </si>
  <si>
    <t>12x750ML</t>
  </si>
  <si>
    <t>FOSTER CLARKS ORANGE JUICE POWD (L)</t>
  </si>
  <si>
    <t>12x450GM</t>
  </si>
  <si>
    <t>FOSTER CLARKS PINNAPPLE JUICE ( L)</t>
  </si>
  <si>
    <t>12x750GM</t>
  </si>
  <si>
    <t>FREE RANGE EGGS</t>
  </si>
  <si>
    <t>FRENCH FRAICE 2.5 KG</t>
  </si>
  <si>
    <t>5x2.5KG</t>
  </si>
  <si>
    <t>FRENCH FRIES 1 KG</t>
  </si>
  <si>
    <t>FRENCH FRIES 2.5KG (L)</t>
  </si>
  <si>
    <t>FRUIT COCTAIL SMALL (L)</t>
  </si>
  <si>
    <t>24X410GM</t>
  </si>
  <si>
    <t>FRUITCOCTAIL</t>
  </si>
  <si>
    <t>6x3KG</t>
  </si>
  <si>
    <t>GARLIC FRESH (L)</t>
  </si>
  <si>
    <t>GARLIC POWDER (L)</t>
  </si>
  <si>
    <t>GELATINE POWDER</t>
  </si>
  <si>
    <t>GERKINS ISLAND CHOICE 690GM</t>
  </si>
  <si>
    <t>12x690GM</t>
  </si>
  <si>
    <t>GHEE ASEEL 1KG (L)</t>
  </si>
  <si>
    <t>GHEE ASEEL 500GM</t>
  </si>
  <si>
    <t>GILLS SPICY CHICKEN TOPPING 1KG</t>
  </si>
  <si>
    <t>GINGER ALE 320ML</t>
  </si>
  <si>
    <t>12x320ML</t>
  </si>
  <si>
    <t>GINGER FRESH (L)</t>
  </si>
  <si>
    <t>GREAN PEAS TIN</t>
  </si>
  <si>
    <t>1x2GM</t>
  </si>
  <si>
    <t>GREEN APPLE FRESH (L)</t>
  </si>
  <si>
    <t>GREEN BEANS FROZEN</t>
  </si>
  <si>
    <t>GREEN BEANS FROZEN (L)</t>
  </si>
  <si>
    <t>GREEN CHILLI FRESH (L)</t>
  </si>
  <si>
    <t>GREEN DHAL</t>
  </si>
  <si>
    <t>GREEN GRAPES (L)</t>
  </si>
  <si>
    <t>GREEN PEAS 400GM (L)</t>
  </si>
  <si>
    <t>GREEN PEAS FROZEN (L)</t>
  </si>
  <si>
    <t>GREEN PEASE FROZEN</t>
  </si>
  <si>
    <t>HAND TOWEL (L)</t>
  </si>
  <si>
    <t>34x34/50G</t>
  </si>
  <si>
    <t>HARDYS ZERO SHIRAZ 752ML</t>
  </si>
  <si>
    <t>6x750ML</t>
  </si>
  <si>
    <t>HASH BROWN POTATOES</t>
  </si>
  <si>
    <t>HAZELNUT SKINLESS</t>
  </si>
  <si>
    <t>HAZELNUT SKINLESS 500 GM</t>
  </si>
  <si>
    <t>HAZELNUT WITH SHELL</t>
  </si>
  <si>
    <t>HOLSTEN GINGER BEER (L)330ML</t>
  </si>
  <si>
    <t>24x330ML</t>
  </si>
  <si>
    <t>HONEY MELON (L)</t>
  </si>
  <si>
    <t>HONEY YOWE 1LTR</t>
  </si>
  <si>
    <t>HOT CHILLI (L)</t>
  </si>
  <si>
    <t>ICRM MM MANGO 4000ML</t>
  </si>
  <si>
    <t>ICECREAM</t>
  </si>
  <si>
    <t>1 X 4000ML</t>
  </si>
  <si>
    <t>ICRM MM STRAWBERRY 4000ML</t>
  </si>
  <si>
    <t>JALAPENO SLICE 3KG</t>
  </si>
  <si>
    <t>1x2.55KG</t>
  </si>
  <si>
    <t>JALAPENO SLICE SMALL</t>
  </si>
  <si>
    <t>12x475ML</t>
  </si>
  <si>
    <t>JAM STRAWBERRY PORTION (L)</t>
  </si>
  <si>
    <t>200x14GM</t>
  </si>
  <si>
    <t>KASURI METHI 1KG</t>
  </si>
  <si>
    <t>KIKKOMAN SOYA SAUCE</t>
  </si>
  <si>
    <t>1x1LTR</t>
  </si>
  <si>
    <t>KIWI DRY</t>
  </si>
  <si>
    <t>KIWI FRESH (L)</t>
  </si>
  <si>
    <t>LADYFINGER (L)</t>
  </si>
  <si>
    <t>LAMB CARCASS</t>
  </si>
  <si>
    <t>LAMB &amp; MUTTON</t>
  </si>
  <si>
    <t>LAMB CARCASS (AUS)</t>
  </si>
  <si>
    <t>LAMB CHOPS (AUS)</t>
  </si>
  <si>
    <t>LAMB CHOPS (L)</t>
  </si>
  <si>
    <t>LAMB LEG BONE IN (AUS)</t>
  </si>
  <si>
    <t>LAMB LEG BONELESS (AUS)</t>
  </si>
  <si>
    <t>LAMB RACK (AUS)</t>
  </si>
  <si>
    <t>LAMB RACK FRENCH CAP OFF</t>
  </si>
  <si>
    <t>LAMB SHANK</t>
  </si>
  <si>
    <t>LAMB SHORTLOIN CHOPS (AUS)</t>
  </si>
  <si>
    <t>LAYS CHIPS (L)</t>
  </si>
  <si>
    <t>48x48GM</t>
  </si>
  <si>
    <t>LEEKS (L)</t>
  </si>
  <si>
    <t>LEMON GRASS (L)</t>
  </si>
  <si>
    <t>LETTUCE ICEBERG (L)</t>
  </si>
  <si>
    <t>LIME (L)</t>
  </si>
  <si>
    <t>LIME FLAVOURED POWDER (L)</t>
  </si>
  <si>
    <t>12x400GM</t>
  </si>
  <si>
    <t>LUNCH BOX ALUMINIUM (L)</t>
  </si>
  <si>
    <t>Lychees In Syrup</t>
  </si>
  <si>
    <t>SKU-7E6D69</t>
  </si>
  <si>
    <t>LYCHES IN SYRUP 565GM (L)</t>
  </si>
  <si>
    <t>24x565GM</t>
  </si>
  <si>
    <t>MAITHA (L)</t>
  </si>
  <si>
    <t>MAMA LIQUID (L)</t>
  </si>
  <si>
    <t>MANDARINE FRESH (L)</t>
  </si>
  <si>
    <t>MANGO (L)</t>
  </si>
  <si>
    <t>MANGO CHUTNEY 340GM</t>
  </si>
  <si>
    <t>12x340GM</t>
  </si>
  <si>
    <t>MARA CAPERS 560GM</t>
  </si>
  <si>
    <t>6x560GM</t>
  </si>
  <si>
    <t>MARGARINE BLOCK 15KG (L)</t>
  </si>
  <si>
    <t>MIttra</t>
  </si>
  <si>
    <t>MASHED POTATO FROZEN</t>
  </si>
  <si>
    <t>MASHED POTATO POWDER</t>
  </si>
  <si>
    <t>MAYONNAISE 900 ML</t>
  </si>
  <si>
    <t>12x900ML</t>
  </si>
  <si>
    <t>MELON CANTALOUP (L)</t>
  </si>
  <si>
    <t>MILK ALMOND</t>
  </si>
  <si>
    <t>8x1LTR</t>
  </si>
  <si>
    <t>MILK SOYA</t>
  </si>
  <si>
    <t>MILO POWDER 6 X 1.4KG (L)</t>
  </si>
  <si>
    <t>6x1.4KG</t>
  </si>
  <si>
    <t>MINERAL WATER 1.5 LTR (L)</t>
  </si>
  <si>
    <t>12x1.5LTR</t>
  </si>
  <si>
    <t>MINERAL WATER 2 X 5 LTR (L)</t>
  </si>
  <si>
    <t>MINERAL WATER 500 ML (L)</t>
  </si>
  <si>
    <t>24x500ML</t>
  </si>
  <si>
    <t>MIX VEGETABLE FROZEN</t>
  </si>
  <si>
    <t>MIX VEGETABLE FROZEN (L)</t>
  </si>
  <si>
    <t>MIXD SEAFOOD (L)</t>
  </si>
  <si>
    <t>MIXED NUTS</t>
  </si>
  <si>
    <t>1x80GM</t>
  </si>
  <si>
    <t>MIXED VEGETABLES 400G (L)</t>
  </si>
  <si>
    <t>MM BUTTER PORTION 10G</t>
  </si>
  <si>
    <t>100x10GM</t>
  </si>
  <si>
    <t>MM BUTTER UNSALTED 500GM</t>
  </si>
  <si>
    <t>30x500GM</t>
  </si>
  <si>
    <t>MM BUTTER UNSALTED BLOCK</t>
  </si>
  <si>
    <t>MM CHEESE CHEDAR 1KG</t>
  </si>
  <si>
    <t>MM CHEESE CREAM PLAIN 200G</t>
  </si>
  <si>
    <t>MM CHEESE MOZZARALLA GRADED</t>
  </si>
  <si>
    <t>MM CHEESE MOZZARELLA 01KG</t>
  </si>
  <si>
    <t>MM CHEESE SLICED 200GM</t>
  </si>
  <si>
    <t>MM COOKING CREAM 1LTR</t>
  </si>
  <si>
    <t>MM COOKING CREAM 250ML</t>
  </si>
  <si>
    <t>32x250ML</t>
  </si>
  <si>
    <t>MM FRZ PANEER BLOCK 500GM</t>
  </si>
  <si>
    <t>MM FRZ PANEER CUBES 500GM</t>
  </si>
  <si>
    <t>MM GHEE 1KG</t>
  </si>
  <si>
    <t>MM GHEE 500GM</t>
  </si>
  <si>
    <t>MM GRASS-FED COW GHEE</t>
  </si>
  <si>
    <t>DRY</t>
  </si>
  <si>
    <t>MM ICRM ALMOND CHOCO BAR 60ML</t>
  </si>
  <si>
    <t>PCS</t>
  </si>
  <si>
    <t>24 x 60ML</t>
  </si>
  <si>
    <t>MM ICRM AMERICAN RECT SANDWICH 80ML</t>
  </si>
  <si>
    <t>16 x 80ML</t>
  </si>
  <si>
    <t>MM ICRM BADAM PISTA CONE 110ML</t>
  </si>
  <si>
    <t xml:space="preserve">Milky Mist </t>
  </si>
  <si>
    <t>20x110ML</t>
  </si>
  <si>
    <t>MM ICRM BISCOFF CHOCO BAR 60ML</t>
  </si>
  <si>
    <t>MM ICRM BLACKCURRANT 500ML</t>
  </si>
  <si>
    <t>TUB</t>
  </si>
  <si>
    <t>30 X 500ML</t>
  </si>
  <si>
    <t>MM ICRM BLACKCURRENT RIPPLE 125ML</t>
  </si>
  <si>
    <t>CUP</t>
  </si>
  <si>
    <t>12 x 125ML</t>
  </si>
  <si>
    <t>MM ICRM BUTTERSCOTCH 1LTR</t>
  </si>
  <si>
    <t>18 x 1LTR</t>
  </si>
  <si>
    <t>MM ICRM BUTTERSCOTCH 4LTR</t>
  </si>
  <si>
    <t>04 x 04LTR</t>
  </si>
  <si>
    <t>MM ICRM BUTTERSCOTCH 500ML</t>
  </si>
  <si>
    <t>MM ICRM BUTTERSCOTCH CONE 110ML</t>
  </si>
  <si>
    <t>20 x 110ML</t>
  </si>
  <si>
    <t>MM ICRM BUTTERSCOTCH CUP 100ML</t>
  </si>
  <si>
    <t>16 x 100ML</t>
  </si>
  <si>
    <t>MM ICRM CHEESECAKE &amp; REDVELVET 1LTR</t>
  </si>
  <si>
    <t>MM ICRM CHOCOLATE 1LTR</t>
  </si>
  <si>
    <t>MM ICRM CHOCOLATE 4LTR</t>
  </si>
  <si>
    <t>MM ICRM CHOCOLATE 500ML</t>
  </si>
  <si>
    <t>MM ICRM CHOCOLATE 500ML SUGAR FREE</t>
  </si>
  <si>
    <t>MM ICRM CHOCOLATE CONE 110ML</t>
  </si>
  <si>
    <t>MM ICRM CHOCOLATE CUP 100ML</t>
  </si>
  <si>
    <t>MM ICRM CHOCOLATE RND SANDWICH 80ML</t>
  </si>
  <si>
    <t>24 x 80ML</t>
  </si>
  <si>
    <t>MM ICRM COCONUT 1LTR</t>
  </si>
  <si>
    <t>MM ICRM COOKIES &amp; CREAM 1LTR</t>
  </si>
  <si>
    <t>MM ICRM COOKIES&amp;CREAM 125ML</t>
  </si>
  <si>
    <t>MM ICRM COOKIES&amp;CREAM 4LTR</t>
  </si>
  <si>
    <t>MM ICRM COOKIES&amp;CREAM 500ML</t>
  </si>
  <si>
    <t>MM ICRM DUET CHOCO BAR V/BS 80ML</t>
  </si>
  <si>
    <t>20 x 80ML</t>
  </si>
  <si>
    <t>MM ICRM DUET CHOCO BAR V/C 80ML</t>
  </si>
  <si>
    <t>MM ICRM FRUIT &amp; NUT 500ML</t>
  </si>
  <si>
    <t>MM ICRM FRUIT N' NUT CUP 100ML</t>
  </si>
  <si>
    <t>MM ICRM FRUIT&amp;NUT 4 LTR (L)</t>
  </si>
  <si>
    <t>4x4LTR</t>
  </si>
  <si>
    <t>MM ICRM GRAPE SORBET 50ML</t>
  </si>
  <si>
    <t>30 x 50ML</t>
  </si>
  <si>
    <t>MM ICRM GUAVA CHILLI SORBET 50ML</t>
  </si>
  <si>
    <t>MM ICRM HONEY &amp; FIG 500ML</t>
  </si>
  <si>
    <t>MM ICRM MAGIC CHOCOBAR 70ML</t>
  </si>
  <si>
    <t>20 x 70ML</t>
  </si>
  <si>
    <t>MM ICRM MALAI KULFI 60ML</t>
  </si>
  <si>
    <t>MM ICRM MANGO 1LTR</t>
  </si>
  <si>
    <t>MM ICRM MANGO 4LTR</t>
  </si>
  <si>
    <t>MM ICRM MANGO 500ML</t>
  </si>
  <si>
    <t>MM ICRM MANGO CANDY 60ML</t>
  </si>
  <si>
    <t>MM ICRM MANGO CUP 100ML</t>
  </si>
  <si>
    <t>MM ICRM MANGO RIPPLE 125ML</t>
  </si>
  <si>
    <t>MM ICRM MANGO SORBET 73ML</t>
  </si>
  <si>
    <t>20 x 73ML</t>
  </si>
  <si>
    <t>MM ICRM ORANGE 1LTR</t>
  </si>
  <si>
    <t>MM ICRM ORANGE CANDY 60ML</t>
  </si>
  <si>
    <t>MM ICRM ORNAGE RND SANDWICH 80ML</t>
  </si>
  <si>
    <t>MM ICRM RABDI KULFI 60ML</t>
  </si>
  <si>
    <t>MM ICRM RASPBERRY CANDY 60ML</t>
  </si>
  <si>
    <t>MM ICRM ROSTED ALMOND 125ML</t>
  </si>
  <si>
    <t>MM ICRM STRAWBERRY 1LTR</t>
  </si>
  <si>
    <t>MM ICRM STRAWBERRY 4LTR</t>
  </si>
  <si>
    <t>MM ICRM STRAWBERRY 500ML</t>
  </si>
  <si>
    <t>MM ICRM STRAWBERRY CUP 100ML</t>
  </si>
  <si>
    <t>MM ICRM STRAWBERRY RIPPLE 125ML</t>
  </si>
  <si>
    <t>MM ICRM TENDER COCONUT 125ML</t>
  </si>
  <si>
    <t>MM ICRM TENDER COCONUT 1LTR</t>
  </si>
  <si>
    <t>SKU-284312</t>
  </si>
  <si>
    <t>8904083320104</t>
  </si>
  <si>
    <t>BOX OF 18</t>
  </si>
  <si>
    <t>MM ICRM TENDER COCONUT 4LTR</t>
  </si>
  <si>
    <t>MM ICRM TENDER COCONUT 500ML</t>
  </si>
  <si>
    <t>MM ICRM TIRAMISU MAGIC TREAT 1LTR</t>
  </si>
  <si>
    <t>MM ICRM VANILLA 1LTR</t>
  </si>
  <si>
    <t>MM ICRM VANILLA 4LTR</t>
  </si>
  <si>
    <t>MM ICRM VANILLA 4LTR (L)</t>
  </si>
  <si>
    <t>6X4LTR</t>
  </si>
  <si>
    <t>MM ICRM VANILLA 500ML</t>
  </si>
  <si>
    <t>MM ICRM VANILLA 500ML SUGAR FREE</t>
  </si>
  <si>
    <t>MM ICRM VANILLA CHOCO BAR 60ML</t>
  </si>
  <si>
    <t>MM ICRM VANILLA CONE 110ML</t>
  </si>
  <si>
    <t>MM ICRM VANILLA CUP 100ML</t>
  </si>
  <si>
    <t>MM ICRM VANILLA MAGIC TREAT 1LTR</t>
  </si>
  <si>
    <t>MM ICRM VANILLA RECT SANDWICH 80ML</t>
  </si>
  <si>
    <t>MM ICRM VANILLA RND SANDWICH 80ML</t>
  </si>
  <si>
    <t>MM LASSI BLUEBERR 200ML</t>
  </si>
  <si>
    <t>32x200ML</t>
  </si>
  <si>
    <t>MM LASSI MANGO 200ML</t>
  </si>
  <si>
    <t>MM LASSI ROSE 200ML</t>
  </si>
  <si>
    <t>MM MALABAR PARATHA</t>
  </si>
  <si>
    <t>20x400GM</t>
  </si>
  <si>
    <t>MM MILK CONDENSED 395G</t>
  </si>
  <si>
    <t>36x400GM</t>
  </si>
  <si>
    <t>MM MILK FULL CREAM 01LTR</t>
  </si>
  <si>
    <t>MM MILK SHAKE BADAM/PISTA 200ML</t>
  </si>
  <si>
    <t>MM MILK SHAKE BUTTER-SCOTH 170ML</t>
  </si>
  <si>
    <t>32x170ML</t>
  </si>
  <si>
    <t>MM MILK SHAKE CHOCOLATE 170ML</t>
  </si>
  <si>
    <t>MM MILK SHAKE COFFEE 170ML</t>
  </si>
  <si>
    <t>MM MILK SHAKE MANGO 200ML</t>
  </si>
  <si>
    <t>MM MILK SHAKE STAWBERRY 170ML</t>
  </si>
  <si>
    <t>MM MILK SHAKE VANILLA 170ML</t>
  </si>
  <si>
    <t>MM PROBIOTIC CURD 1KG</t>
  </si>
  <si>
    <t>24x1KG</t>
  </si>
  <si>
    <t>MM SET CURD 1KG</t>
  </si>
  <si>
    <t>24 X 1KG</t>
  </si>
  <si>
    <t>MM SET CURD 200GM</t>
  </si>
  <si>
    <t>MM SET CURD 5 KG</t>
  </si>
  <si>
    <t>MM YOGHURT BLUEBERRY 100G</t>
  </si>
  <si>
    <t>MM YOGHURT GREEK BLUEBERRY 100G</t>
  </si>
  <si>
    <t>MM YOGHURT GREEK BLUEBERRY 225G</t>
  </si>
  <si>
    <t>24x225G</t>
  </si>
  <si>
    <t>MM YOGHURT GREEK HONEY &amp; FIG 100G</t>
  </si>
  <si>
    <t>24x100G</t>
  </si>
  <si>
    <t>MM YOGHURT GREEK PLAIN 100G</t>
  </si>
  <si>
    <t>24x`100G</t>
  </si>
  <si>
    <t>MM YOGHURT GREEK PLAIN 225GM</t>
  </si>
  <si>
    <t>12x225GM</t>
  </si>
  <si>
    <t>MM YOGHURT GREEK PLAIN 700G</t>
  </si>
  <si>
    <t>12x700ML</t>
  </si>
  <si>
    <t>MM YOGHURT MANGO 100G</t>
  </si>
  <si>
    <t>MM YOGHURT PEACH 100G</t>
  </si>
  <si>
    <t>MM YOGHURT STAWBERRY</t>
  </si>
  <si>
    <t>MOUTHWASH LISTERINE (L)</t>
  </si>
  <si>
    <t>1x100ML</t>
  </si>
  <si>
    <t>MUSHROOM DRY</t>
  </si>
  <si>
    <t>MUSHROOM SLICE (L)</t>
  </si>
  <si>
    <t>6x2.85KG</t>
  </si>
  <si>
    <t>MUSHROOM SLICE 400G</t>
  </si>
  <si>
    <t>MUSHROOM SLICE ISLAND CHOICE3KG</t>
  </si>
  <si>
    <t>MUSHROOM WHOLE ISLAND CHOICE 3K</t>
  </si>
  <si>
    <t>MUSHROOM WHOLE SMALL (L)</t>
  </si>
  <si>
    <t>MUSSELS BLACK WHOLE</t>
  </si>
  <si>
    <t>10x454GM</t>
  </si>
  <si>
    <t>MUSSELS GREEN</t>
  </si>
  <si>
    <t>MUSTARD DIJON 370G</t>
  </si>
  <si>
    <t>12x370GM</t>
  </si>
  <si>
    <t>MUSTARD DIJON 850GM</t>
  </si>
  <si>
    <t>24x385ML</t>
  </si>
  <si>
    <t>MUSTARD SEED</t>
  </si>
  <si>
    <t>MUSTARD YELLOW 227GM</t>
  </si>
  <si>
    <t>12X227ML</t>
  </si>
  <si>
    <t>MUTTON CARCASS</t>
  </si>
  <si>
    <t>MUTTON CUBE (IND)</t>
  </si>
  <si>
    <t>20x900G</t>
  </si>
  <si>
    <t>MUTTON CUBE (IND) (L)</t>
  </si>
  <si>
    <t>MUTTON CUBE BONELESS (IND)</t>
  </si>
  <si>
    <t>MUTTON LEG BONE IN (AUS)</t>
  </si>
  <si>
    <t>MUTTON LEG BONELESS (AUS)</t>
  </si>
  <si>
    <t>NAARMANN CREAM COOKING 01LTR</t>
  </si>
  <si>
    <t>NATALIE'S FRZ JUICE GRAPEFRUIT 01LTR</t>
  </si>
  <si>
    <t>NATALIE'S FRZ JUICE LEMON 01LTR</t>
  </si>
  <si>
    <t>NATALIE'S FRZ JUICE LIME 01LTR</t>
  </si>
  <si>
    <t>NATALIE'S FRZ JUICE ORANGE 01LTR</t>
  </si>
  <si>
    <t>NESTLE CREAM (L)</t>
  </si>
  <si>
    <t>48x160GM</t>
  </si>
  <si>
    <t>NOODLES EGG (L)</t>
  </si>
  <si>
    <t>NOODLES EGG 200G</t>
  </si>
  <si>
    <t>30x200G</t>
  </si>
  <si>
    <t>NOODLES EGG 400G</t>
  </si>
  <si>
    <t>NOODLES GLASS</t>
  </si>
  <si>
    <t>20x250GM</t>
  </si>
  <si>
    <t>NOODLES RICE STICK</t>
  </si>
  <si>
    <t>30x375GM</t>
  </si>
  <si>
    <t>NOORI SHEET</t>
  </si>
  <si>
    <t>6x850GM</t>
  </si>
  <si>
    <t>NORI (L)</t>
  </si>
  <si>
    <t>1x25GM</t>
  </si>
  <si>
    <t>NUTELLA</t>
  </si>
  <si>
    <t>15x350GM</t>
  </si>
  <si>
    <t>NUTELLA 3 KG</t>
  </si>
  <si>
    <t>2x3KG</t>
  </si>
  <si>
    <t>OATS</t>
  </si>
  <si>
    <t>OCTOPUS</t>
  </si>
  <si>
    <t>OIL COCONUT (L)</t>
  </si>
  <si>
    <t>OIL MUSTARD 1LTR (L)</t>
  </si>
  <si>
    <t>OIL MUSTARD 475ML</t>
  </si>
  <si>
    <t>OIL SESAME 630ML</t>
  </si>
  <si>
    <t>12x630ML</t>
  </si>
  <si>
    <t>OIL SUN FLOWER (L)</t>
  </si>
  <si>
    <t>6X1.8LTR</t>
  </si>
  <si>
    <t>OIL SUNFLOWER</t>
  </si>
  <si>
    <t>OLIVE BLACK PITTED 3KG</t>
  </si>
  <si>
    <t>OLIVE BLACK PITTED 3KG (L)</t>
  </si>
  <si>
    <t>OLIVE OIL 1LTR (L)</t>
  </si>
  <si>
    <t>12X1LTR</t>
  </si>
  <si>
    <t>OLIVE OIL 500ML (L)</t>
  </si>
  <si>
    <t>12x500ML</t>
  </si>
  <si>
    <t>OLIVE OIL CAN 4 LTR MARA</t>
  </si>
  <si>
    <t>OLIVE OIL EXTRA VIRGIN MARA 5LT</t>
  </si>
  <si>
    <t>2x5LTR</t>
  </si>
  <si>
    <t>OLIVE OIL EXTRAVIRGIN 5LTR (L)</t>
  </si>
  <si>
    <t>3x5LTR</t>
  </si>
  <si>
    <t>OLIVES GREEN PITTED 3KG</t>
  </si>
  <si>
    <t>OLIVES GREEN PITTED 3KG (L)</t>
  </si>
  <si>
    <t>OLIVES GREEN WHOLE</t>
  </si>
  <si>
    <t>1x3KG</t>
  </si>
  <si>
    <t>OLIVES KALAMATHA</t>
  </si>
  <si>
    <t>1x3.33KG</t>
  </si>
  <si>
    <t>ONION FRESH (L)</t>
  </si>
  <si>
    <t>ONION RINGS BREADED FROZEN</t>
  </si>
  <si>
    <t>ORANGE (L)</t>
  </si>
  <si>
    <t>OREGANO DRIED 500GM (L)</t>
  </si>
  <si>
    <t>PAK CHOY (L)</t>
  </si>
  <si>
    <t>PAPAYA (L)</t>
  </si>
  <si>
    <t>PAPER STRAW 8MM (L)</t>
  </si>
  <si>
    <t>50x8MM</t>
  </si>
  <si>
    <t>PAPPADAM VILLA (L)</t>
  </si>
  <si>
    <t>60x100GM</t>
  </si>
  <si>
    <t>PAPRIKA POWDER</t>
  </si>
  <si>
    <t>PARATHA PLAIN 400G</t>
  </si>
  <si>
    <t>PARSLEY (L)</t>
  </si>
  <si>
    <t>PASTA LASAGNE MARA  500GM</t>
  </si>
  <si>
    <t>16x500GM</t>
  </si>
  <si>
    <t>PASTA MACCORONI MARA 500GM</t>
  </si>
  <si>
    <t>PASTA PENNE MARA 500GM</t>
  </si>
  <si>
    <t>PASTA SPEGATTHI MARA 500GM</t>
  </si>
  <si>
    <t>PEACH HALVES 3KG</t>
  </si>
  <si>
    <t>PEANUT BUTTER (L)</t>
  </si>
  <si>
    <t>PEANUT BUTTER 340GM</t>
  </si>
  <si>
    <t>PEANUT RAW (W/SKIN) 1KG</t>
  </si>
  <si>
    <t>PEANUT SKINLESS</t>
  </si>
  <si>
    <t>PEARLY BAY SPARKLING GRAPEJUICE</t>
  </si>
  <si>
    <t>PEARS FRESH (L)</t>
  </si>
  <si>
    <t>PEARS HALVES 3KG</t>
  </si>
  <si>
    <t>PECAN NUTS</t>
  </si>
  <si>
    <t>PECAN NUTS 500GM</t>
  </si>
  <si>
    <t>PEELED TOMATO (L)</t>
  </si>
  <si>
    <t>PEELED TOMATO 400G (L)</t>
  </si>
  <si>
    <t>PEELED TOMATO 800GM</t>
  </si>
  <si>
    <t>12x800GM</t>
  </si>
  <si>
    <t>PEELED TOMATO MARA</t>
  </si>
  <si>
    <t>PEPPER BLACK POWDER</t>
  </si>
  <si>
    <t>PEPPER WHOLE BLACK</t>
  </si>
  <si>
    <t>PIE FILING APPLE MOTHER'S MAID</t>
  </si>
  <si>
    <t>PIE FILLING BLUBERRY MOTHER'S M</t>
  </si>
  <si>
    <t>PIE FILLING CHEERY MOTHER'S MAI</t>
  </si>
  <si>
    <t>PIE FILLING STRAWBERRY MOTHER'S</t>
  </si>
  <si>
    <t>PINE APPLE FRESH (L)</t>
  </si>
  <si>
    <t>PINE NUT</t>
  </si>
  <si>
    <t>PINEAPPLE DRIED 01KG</t>
  </si>
  <si>
    <t>6X01KG</t>
  </si>
  <si>
    <t>PINEAPPLE SLICE</t>
  </si>
  <si>
    <t>PINEAPPLE SLICE SMALL (L)</t>
  </si>
  <si>
    <t>24X565GM</t>
  </si>
  <si>
    <t>PISTACHO</t>
  </si>
  <si>
    <t>POP CORN</t>
  </si>
  <si>
    <t>POTATO CHIPS SOUR CREAM &amp; ONION (L)</t>
  </si>
  <si>
    <t>12x134GM</t>
  </si>
  <si>
    <t>POTATO FRESH (L)</t>
  </si>
  <si>
    <t>POTATO WEDGES FROZEN</t>
  </si>
  <si>
    <t>PRAWNS 30/40</t>
  </si>
  <si>
    <t>PRAWNS TAIL U30/40</t>
  </si>
  <si>
    <t>PRAWNS U-10</t>
  </si>
  <si>
    <t>PRAWNS U-15 (L)</t>
  </si>
  <si>
    <t>PRAWNS U30/40 (L)</t>
  </si>
  <si>
    <t>PRUNES PITTED</t>
  </si>
  <si>
    <t>PRUNES PITTED 227 GM</t>
  </si>
  <si>
    <t>1x227GM</t>
  </si>
  <si>
    <t>PUFF PASTRY SHEET</t>
  </si>
  <si>
    <t>18x400GM</t>
  </si>
  <si>
    <t>PUMKIN SEED 01KG</t>
  </si>
  <si>
    <t>PUMPKIN (L)</t>
  </si>
  <si>
    <t>PUREE BANANA</t>
  </si>
  <si>
    <t>PUREE</t>
  </si>
  <si>
    <t>PUREE BLACKBERRY</t>
  </si>
  <si>
    <t>PUREE BLUEBERRY</t>
  </si>
  <si>
    <t>PUREE COCONUT TUBS</t>
  </si>
  <si>
    <t>PUREE MANGO</t>
  </si>
  <si>
    <t>Puree Passion Fruit</t>
  </si>
  <si>
    <t>SKU-F28028</t>
  </si>
  <si>
    <t>PUREE PINEAPPLE</t>
  </si>
  <si>
    <t>PUREE RASBERRY</t>
  </si>
  <si>
    <t>PUREE STRAWBERRY</t>
  </si>
  <si>
    <t>QUINOA WHITE 1 KG</t>
  </si>
  <si>
    <t>RADISH WHITE (L)</t>
  </si>
  <si>
    <t>RAISINS GOLD</t>
  </si>
  <si>
    <t>RED APPLE FRESH (L)</t>
  </si>
  <si>
    <t>RED CHERRY</t>
  </si>
  <si>
    <t>4x1.7KG</t>
  </si>
  <si>
    <t>RED CURRY PASTE (L)</t>
  </si>
  <si>
    <t>RED DHAL</t>
  </si>
  <si>
    <t>RED GRAPES FRESH (L)</t>
  </si>
  <si>
    <t>RED KIDNEY BEANS 400GM</t>
  </si>
  <si>
    <t>RED KIDNEY BEANS BAG</t>
  </si>
  <si>
    <t>RED KIDNEY BEANS MARA 2.5KG</t>
  </si>
  <si>
    <t>RED RICE (L)</t>
  </si>
  <si>
    <t>RICE 50KG (L)</t>
  </si>
  <si>
    <t>1x50KG</t>
  </si>
  <si>
    <t>RICE ARBORIA MARA 1KG</t>
  </si>
  <si>
    <t>RICE BASMATHI (L)</t>
  </si>
  <si>
    <t>20x1KG</t>
  </si>
  <si>
    <t>RICE BASMATHI HIMALAYA 5KG</t>
  </si>
  <si>
    <t>RICE BASMATHI HIMALAYAS 1KG</t>
  </si>
  <si>
    <t>RICE JAPANESE 5KG</t>
  </si>
  <si>
    <t>RICE JASMINE 5KG</t>
  </si>
  <si>
    <t>4x15KG</t>
  </si>
  <si>
    <t>RICE THAI WHITE (L)</t>
  </si>
  <si>
    <t>RICE VERMICLLI 500GM</t>
  </si>
  <si>
    <t>ROSE WATER 400ML</t>
  </si>
  <si>
    <t>12x400ML</t>
  </si>
  <si>
    <t>ROSE WATER 500 ML (L)</t>
  </si>
  <si>
    <t>12 X 500 ML</t>
  </si>
  <si>
    <t>ROSEMERY DRY 500GM</t>
  </si>
  <si>
    <t>SAFFRON</t>
  </si>
  <si>
    <t>1x4GM</t>
  </si>
  <si>
    <t>SAFFRON 4 GM</t>
  </si>
  <si>
    <t>SALMON SMOKED</t>
  </si>
  <si>
    <t>1x200GM</t>
  </si>
  <si>
    <t>SALMON WHOLE</t>
  </si>
  <si>
    <t>SALT 500GM (L)</t>
  </si>
  <si>
    <t>40x500GM</t>
  </si>
  <si>
    <t>SAMOSA MUTTON</t>
  </si>
  <si>
    <t>4x1.25KG</t>
  </si>
  <si>
    <t>SAUCE BBQ ( L )</t>
  </si>
  <si>
    <t>12x510 GM</t>
  </si>
  <si>
    <t>SAUCE BBQ 500GM</t>
  </si>
  <si>
    <t>SAUCE CHILLI &amp; GARLIC 340GM (L)</t>
  </si>
  <si>
    <t>SAUCE CHILLI 320GM (L)</t>
  </si>
  <si>
    <t>24x320GM</t>
  </si>
  <si>
    <t>SAUCE CHILLI 5LTR (L)</t>
  </si>
  <si>
    <t>SAUCE CHILLI THAI 5LTR</t>
  </si>
  <si>
    <t>SAUCE HOISIN</t>
  </si>
  <si>
    <t>12x240GM</t>
  </si>
  <si>
    <t>SAUCE HOT 5 LTR</t>
  </si>
  <si>
    <t>SAUCE HP 255GM</t>
  </si>
  <si>
    <t>SAUCE MAYONNAISE</t>
  </si>
  <si>
    <t>4x3.78LTR</t>
  </si>
  <si>
    <t>SAUCE MAYONNAISE (L)</t>
  </si>
  <si>
    <t>SAUCE MAYONNAISE KEWPIE JP</t>
  </si>
  <si>
    <t>SAUCE MAYONNAISE LADY CHOICE (L</t>
  </si>
  <si>
    <t>SAUCE MINT</t>
  </si>
  <si>
    <t>SAUCE OYSTER 5LTR</t>
  </si>
  <si>
    <t>1x5LTR</t>
  </si>
  <si>
    <t>SAUCE OYSTER 770GM</t>
  </si>
  <si>
    <t>12x770GM</t>
  </si>
  <si>
    <t>SAUCE OYSTER MAGGIE (L)</t>
  </si>
  <si>
    <t>SAUCE PERI PERI</t>
  </si>
  <si>
    <t>6x250ML</t>
  </si>
  <si>
    <t>SAUCE PESTO MARA 500GM</t>
  </si>
  <si>
    <t>SAUCE SOYA DARK</t>
  </si>
  <si>
    <t>1x640ML</t>
  </si>
  <si>
    <t>SAUCE SOYA DARK 3.78LTR</t>
  </si>
  <si>
    <t>SAUCE SOYA LIGHT</t>
  </si>
  <si>
    <t>SAUCE SWEET CHILLI 700G</t>
  </si>
  <si>
    <t>SAUCE SWEET SOYA ABC</t>
  </si>
  <si>
    <t>12x610ML</t>
  </si>
  <si>
    <t>SAUCE SWEET SOYA ABC (L)</t>
  </si>
  <si>
    <t>12x600ML</t>
  </si>
  <si>
    <t>SAUCE TABASCO</t>
  </si>
  <si>
    <t>12x60ML</t>
  </si>
  <si>
    <t>SAUCE TERIYAKI</t>
  </si>
  <si>
    <t>12x200ml</t>
  </si>
  <si>
    <t>SAUCE TOMATO 5KG (L)</t>
  </si>
  <si>
    <t>SAUCE WORISTER</t>
  </si>
  <si>
    <t>24x250ML</t>
  </si>
  <si>
    <t>SCALLOPS</t>
  </si>
  <si>
    <t>SEMOLINA (L)</t>
  </si>
  <si>
    <t>SESAME SEED BLACK 1KG</t>
  </si>
  <si>
    <t>12x255GM</t>
  </si>
  <si>
    <t>SESAME SEED WHITE 1KG</t>
  </si>
  <si>
    <t>SHOPPING BAG (L)</t>
  </si>
  <si>
    <t>SHRIMPS 100/200</t>
  </si>
  <si>
    <t>SHRIMPS 100/200 (L)</t>
  </si>
  <si>
    <t>SOAP LUX (L)</t>
  </si>
  <si>
    <t>SODA WATER 320ML</t>
  </si>
  <si>
    <t>SOUR CREAM 01LTR</t>
  </si>
  <si>
    <t>SPINACH FRESH (L)</t>
  </si>
  <si>
    <t>SPINACH FROZEN</t>
  </si>
  <si>
    <t>SPINACH FROZEN (L)</t>
  </si>
  <si>
    <t>SPONGE (L)</t>
  </si>
  <si>
    <t>SPRING ONION (L)</t>
  </si>
  <si>
    <t>SPRING ROLL PASTRY SHEETS</t>
  </si>
  <si>
    <t>20x550GM</t>
  </si>
  <si>
    <t>SPRING ROLL VEGETABLE</t>
  </si>
  <si>
    <t>1x1.25KG</t>
  </si>
  <si>
    <t>SPRITE 320ML (L)</t>
  </si>
  <si>
    <t>SQUASH LEMON</t>
  </si>
  <si>
    <t>SQUID 1KG (L)</t>
  </si>
  <si>
    <t>SQUID RING</t>
  </si>
  <si>
    <t>SQUID WHOLE</t>
  </si>
  <si>
    <t>STAR ANISE (L)</t>
  </si>
  <si>
    <t>STAR ANISE 100GM</t>
  </si>
  <si>
    <t>STEAK FRIES</t>
  </si>
  <si>
    <t>1x2.5KG</t>
  </si>
  <si>
    <t>STRABERRY FRESH (L)</t>
  </si>
  <si>
    <t>SUGAR BAG (L)</t>
  </si>
  <si>
    <t>SUGAR BROWN 1KG</t>
  </si>
  <si>
    <t>SUGAR BROWN 500GM</t>
  </si>
  <si>
    <t>12x227GM</t>
  </si>
  <si>
    <t>SUGAR ICING 1 KG</t>
  </si>
  <si>
    <t>SUGAR ICING 1kg</t>
  </si>
  <si>
    <t>SKU-0BAB2F</t>
  </si>
  <si>
    <t>SUGAR ICING 1KG (L)</t>
  </si>
  <si>
    <t>SUGAR ICING 500G</t>
  </si>
  <si>
    <t>SUGAR PORTION (L)</t>
  </si>
  <si>
    <t>100x5GM</t>
  </si>
  <si>
    <t>SUN DRIED TOMATO MARA 3KG</t>
  </si>
  <si>
    <t>SUN DRIED TOMATO SMALL</t>
  </si>
  <si>
    <t>SUNFLOWER SEED WITHOUT SHELL</t>
  </si>
  <si>
    <t>SWEET CORN FROZEN</t>
  </si>
  <si>
    <t>SWEET CORN IN TIN 3KG</t>
  </si>
  <si>
    <t>SWEET CORN IN TIN 400GM</t>
  </si>
  <si>
    <t>SWEET POTATO (L)</t>
  </si>
  <si>
    <t>SWEET POTATO FRIES 1.13KG</t>
  </si>
  <si>
    <t>6x1.13KG</t>
  </si>
  <si>
    <t>SYRUP CHOCOLATE 650GM (L)</t>
  </si>
  <si>
    <t>24x650GM</t>
  </si>
  <si>
    <t>SYRUP PANCAKE 710ML (L)</t>
  </si>
  <si>
    <t>12X710ML</t>
  </si>
  <si>
    <t>SYRUP ROSE</t>
  </si>
  <si>
    <t>SYRUP STRABERRY 624GM (L)</t>
  </si>
  <si>
    <t>12x624GM</t>
  </si>
  <si>
    <t>TABLE TISSUE (L)</t>
  </si>
  <si>
    <t>TEA AKBAR (L)</t>
  </si>
  <si>
    <t>12x100BG</t>
  </si>
  <si>
    <t>TEA BAG LIPTON YELLOW LABLE (L)</t>
  </si>
  <si>
    <t>100x2GM</t>
  </si>
  <si>
    <t>TEMPURA FLOUR 500GM</t>
  </si>
  <si>
    <t>THAHINI PASTE</t>
  </si>
  <si>
    <t>TIGER PRAWNS</t>
  </si>
  <si>
    <t>TIGER PRAWNS U-10</t>
  </si>
  <si>
    <t>TIGER PRAWNS U-5</t>
  </si>
  <si>
    <t>1x2KG</t>
  </si>
  <si>
    <t>TIGER PRAWNS WHOLE 30/40</t>
  </si>
  <si>
    <t>TOBLERONE WHITE 100 GM (L)</t>
  </si>
  <si>
    <t>20x100GM</t>
  </si>
  <si>
    <t>TOILET ROLL (L)</t>
  </si>
  <si>
    <t>30X1ROL</t>
  </si>
  <si>
    <t>TOMATO FRESH (L)</t>
  </si>
  <si>
    <t>TOMATO KETCHUP 340ML (L)</t>
  </si>
  <si>
    <t>24x340 ML</t>
  </si>
  <si>
    <t>TOMATO KETCHUP 5 KG</t>
  </si>
  <si>
    <t>TOMATO KETCHUP 5KG (L)</t>
  </si>
  <si>
    <t>4X5KG</t>
  </si>
  <si>
    <t>TOMATO PASTE MARA 2.2KG</t>
  </si>
  <si>
    <t>TOMATO PASTE SMALL</t>
  </si>
  <si>
    <t>TOMATO PIZZA PRONTO MARA 2KG</t>
  </si>
  <si>
    <t>TOMYUM PASTE 1.5KG(L)</t>
  </si>
  <si>
    <t>TONIC WATER AXTON 320ML</t>
  </si>
  <si>
    <t>TOOTH BRUSH (L)</t>
  </si>
  <si>
    <t>TOOTH PASTE (L)</t>
  </si>
  <si>
    <t>TOOTH PICK (L)</t>
  </si>
  <si>
    <t>TORTILLA WRAPS FROZEN 12"</t>
  </si>
  <si>
    <t>1 X 10PKT</t>
  </si>
  <si>
    <t>TUNA CANNED 1.85 KG</t>
  </si>
  <si>
    <t>6x1.85KG</t>
  </si>
  <si>
    <t>TUNA IN OIL (L)</t>
  </si>
  <si>
    <t>12180GM</t>
  </si>
  <si>
    <t>TUNA PKT</t>
  </si>
  <si>
    <t>4x3KG</t>
  </si>
  <si>
    <t>TURKEY</t>
  </si>
  <si>
    <t>1x4.4KG</t>
  </si>
  <si>
    <t>TURKEY BACON</t>
  </si>
  <si>
    <t>TURKEY HAM</t>
  </si>
  <si>
    <t>TURKEY MORTADELLA</t>
  </si>
  <si>
    <t>TURMARIC POWDER 1KG</t>
  </si>
  <si>
    <t>TURMERIC POWDER 500G</t>
  </si>
  <si>
    <t>TUTTI FRUITY 750GM</t>
  </si>
  <si>
    <t>1x750GM</t>
  </si>
  <si>
    <t>VANNAMEI SHRIMPS 31/40</t>
  </si>
  <si>
    <t>VEGETABLE SAMOSA</t>
  </si>
  <si>
    <t>VEGETABLE STOCK (L)</t>
  </si>
  <si>
    <t>VINEGAR BALSAMIC</t>
  </si>
  <si>
    <t>VINEGAR RICE</t>
  </si>
  <si>
    <t xml:space="preserve">12x1LTR </t>
  </si>
  <si>
    <t>VINEGAR WHITE 1LTR (L)</t>
  </si>
  <si>
    <t>24x1LTR</t>
  </si>
  <si>
    <t>VINEGAR WHITE 3.78 LTR</t>
  </si>
  <si>
    <t>VINEGAR WHITE 3.78LTR (L)</t>
  </si>
  <si>
    <t>VINEGAR WHITE 385ML</t>
  </si>
  <si>
    <t>12x385ML</t>
  </si>
  <si>
    <t>VINEGER APPLE CIDER (L)</t>
  </si>
  <si>
    <t>WALNUT</t>
  </si>
  <si>
    <t>WALNUT 250G</t>
  </si>
  <si>
    <t>1x250GM</t>
  </si>
  <si>
    <t>WASABI POWDER</t>
  </si>
  <si>
    <t>WASHING POWDER (L)</t>
  </si>
  <si>
    <t>WATER MELON (L)</t>
  </si>
  <si>
    <t>WHIPPING CREAM 01LTR</t>
  </si>
  <si>
    <t>WHITE (URAD) DHAL</t>
  </si>
  <si>
    <t>WHITE BREAD (L)</t>
  </si>
  <si>
    <t>WHITE FLOUR (L)</t>
  </si>
  <si>
    <t>WHITE PEPPER POWDER 1KG</t>
  </si>
  <si>
    <t>YEAST INSTAND</t>
  </si>
  <si>
    <t>YEAST INSTAND (L)</t>
  </si>
  <si>
    <t>YELLOW DHAL</t>
  </si>
  <si>
    <t>YOGHURT PLAIN 01LTR</t>
  </si>
  <si>
    <t>YOUNG CORN WHOLE 3KG</t>
  </si>
  <si>
    <t>ZATAR POWDER 1 KG</t>
  </si>
  <si>
    <t>ZERO COKE 320ML</t>
  </si>
  <si>
    <t>ZUCCHINI (L)</t>
  </si>
  <si>
    <t>NATALIE'S</t>
  </si>
  <si>
    <t>PEARLY BAY</t>
  </si>
  <si>
    <t>HARDYS</t>
  </si>
  <si>
    <t>Mily Mist</t>
  </si>
  <si>
    <t>MARA</t>
  </si>
  <si>
    <t>FROZEN IQF BLUEBERRIES 01KG</t>
  </si>
  <si>
    <t>i..</t>
  </si>
  <si>
    <t>receiveing</t>
  </si>
  <si>
    <t>cost of sales</t>
  </si>
  <si>
    <t>opening Stock</t>
  </si>
  <si>
    <t>returning</t>
  </si>
  <si>
    <t>closing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</si>
</sst>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0" xfId="0" applyNumberFormat="1"/>
    <xf numFmtId="0" fontId="0" fillId="2" borderId="0" xfId="0" applyFill="1"/>
    <xf numFmtId="164" fontId="0" fillId="2" borderId="0" xfId="1" applyFont="1" applyFill="1"/>
    <xf numFmtId="1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1"/>
  <sheetViews>
    <sheetView tabSelected="1" zoomScale="85" zoomScaleNormal="85" workbookViewId="0">
      <pane ySplit="1" topLeftCell="A2" activePane="bottomLeft" state="frozen"/>
      <selection pane="bottomLeft" activeCell="E1" sqref="E1:E1048576"/>
    </sheetView>
  </sheetViews>
  <sheetFormatPr defaultRowHeight="15.9" x14ac:dyDescent="0.45"/>
  <cols>
    <col min="1" max="1" width="35.5703125" customWidth="1"/>
    <col min="2" max="2" width="14.140625" customWidth="1"/>
    <col min="3" max="3" width="9" customWidth="1"/>
    <col min="4" max="4" width="18.2109375" customWidth="1"/>
    <col min="5" max="5" width="10.7109375" style="5" bestFit="1" customWidth="1"/>
    <col min="6" max="6" width="9" customWidth="1"/>
    <col min="7" max="7" width="11.7109375" customWidth="1"/>
    <col min="8" max="8" width="11.5" customWidth="1"/>
    <col min="9" max="9" width="13.78515625" customWidth="1"/>
    <col min="10" max="10" width="12" customWidth="1"/>
    <col min="11" max="11" width="13.0703125" customWidth="1"/>
    <col min="12" max="16" width="9" customWidth="1"/>
    <col min="17" max="17" width="34.7109375" bestFit="1" customWidth="1"/>
    <col min="18" max="32" width="9" customWidth="1"/>
    <col min="33" max="33" width="3" customWidth="1"/>
    <col min="34" max="34" width="9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s="2">
        <v>6000182</v>
      </c>
      <c r="C2" t="s">
        <v>33</v>
      </c>
      <c r="D2" t="s">
        <v>34</v>
      </c>
      <c r="E2" s="5" t="s">
        <v>33</v>
      </c>
      <c r="F2" t="s">
        <v>35</v>
      </c>
      <c r="G2" t="s">
        <v>36</v>
      </c>
      <c r="H2" s="1">
        <v>0</v>
      </c>
      <c r="I2" s="6">
        <v>60</v>
      </c>
      <c r="J2" s="6">
        <v>60</v>
      </c>
      <c r="K2" s="6">
        <v>60</v>
      </c>
      <c r="L2">
        <v>8</v>
      </c>
      <c r="M2">
        <v>0</v>
      </c>
      <c r="N2" t="b">
        <v>0</v>
      </c>
      <c r="O2" t="b">
        <v>0</v>
      </c>
      <c r="P2" t="b">
        <v>1</v>
      </c>
    </row>
    <row r="3" spans="1:32" x14ac:dyDescent="0.45">
      <c r="A3" t="s">
        <v>37</v>
      </c>
      <c r="B3" s="2">
        <v>6000166</v>
      </c>
      <c r="C3" t="s">
        <v>33</v>
      </c>
      <c r="D3" t="s">
        <v>34</v>
      </c>
      <c r="E3" s="5" t="s">
        <v>33</v>
      </c>
      <c r="F3" t="s">
        <v>38</v>
      </c>
      <c r="G3" t="s">
        <v>39</v>
      </c>
      <c r="H3" s="1">
        <v>0</v>
      </c>
      <c r="I3" s="6">
        <v>27.78</v>
      </c>
      <c r="J3" s="6">
        <v>23.148</v>
      </c>
      <c r="K3" s="6">
        <v>27.78</v>
      </c>
      <c r="L3">
        <v>8</v>
      </c>
      <c r="M3">
        <v>0</v>
      </c>
      <c r="N3" t="b">
        <v>0</v>
      </c>
      <c r="O3" t="b">
        <v>0</v>
      </c>
      <c r="P3" t="b">
        <v>1</v>
      </c>
    </row>
    <row r="4" spans="1:32" x14ac:dyDescent="0.45">
      <c r="A4" t="s">
        <v>40</v>
      </c>
      <c r="B4" s="2">
        <v>1008383</v>
      </c>
      <c r="C4" t="s">
        <v>33</v>
      </c>
      <c r="D4" t="s">
        <v>41</v>
      </c>
      <c r="E4" s="5" t="s">
        <v>33</v>
      </c>
      <c r="F4" t="s">
        <v>42</v>
      </c>
      <c r="G4" t="s">
        <v>43</v>
      </c>
      <c r="H4" s="1">
        <v>168.88</v>
      </c>
      <c r="I4" s="6">
        <v>305.56</v>
      </c>
      <c r="J4" s="6">
        <v>300</v>
      </c>
      <c r="K4" s="6">
        <v>179.01</v>
      </c>
      <c r="L4">
        <v>8</v>
      </c>
      <c r="M4">
        <v>20</v>
      </c>
      <c r="N4" t="b">
        <v>0</v>
      </c>
      <c r="O4" t="b">
        <v>0</v>
      </c>
      <c r="P4" t="b">
        <v>1</v>
      </c>
    </row>
    <row r="5" spans="1:32" x14ac:dyDescent="0.45">
      <c r="A5" t="s">
        <v>44</v>
      </c>
      <c r="B5" s="2">
        <v>563</v>
      </c>
      <c r="C5" t="s">
        <v>33</v>
      </c>
      <c r="D5" t="s">
        <v>41</v>
      </c>
      <c r="E5" s="5" t="s">
        <v>33</v>
      </c>
      <c r="F5" t="s">
        <v>42</v>
      </c>
      <c r="G5" t="s">
        <v>45</v>
      </c>
      <c r="H5" s="1">
        <v>852.03</v>
      </c>
      <c r="I5" s="6">
        <v>1400</v>
      </c>
      <c r="J5" s="6">
        <v>1400</v>
      </c>
      <c r="K5" s="6">
        <v>903.15</v>
      </c>
      <c r="L5">
        <v>8</v>
      </c>
      <c r="M5">
        <v>0</v>
      </c>
      <c r="N5" t="b">
        <v>0</v>
      </c>
      <c r="O5" t="b">
        <v>0</v>
      </c>
      <c r="P5" t="b">
        <v>1</v>
      </c>
    </row>
    <row r="6" spans="1:32" x14ac:dyDescent="0.45">
      <c r="A6" t="s">
        <v>46</v>
      </c>
      <c r="B6" s="2">
        <v>1009170</v>
      </c>
      <c r="C6" t="s">
        <v>33</v>
      </c>
      <c r="D6" t="s">
        <v>41</v>
      </c>
      <c r="E6" s="5" t="s">
        <v>33</v>
      </c>
      <c r="F6" t="s">
        <v>42</v>
      </c>
      <c r="G6" t="s">
        <v>47</v>
      </c>
      <c r="H6" s="1">
        <v>142.66</v>
      </c>
      <c r="I6" s="6">
        <v>342.59</v>
      </c>
      <c r="J6" s="6">
        <v>333.33</v>
      </c>
      <c r="K6" s="6">
        <v>151.22</v>
      </c>
      <c r="L6">
        <v>8</v>
      </c>
      <c r="M6">
        <v>20</v>
      </c>
      <c r="N6" t="b">
        <v>0</v>
      </c>
      <c r="O6" t="b">
        <v>0</v>
      </c>
      <c r="P6" t="b">
        <v>1</v>
      </c>
    </row>
    <row r="7" spans="1:32" x14ac:dyDescent="0.45">
      <c r="A7" t="s">
        <v>48</v>
      </c>
      <c r="B7" s="2">
        <v>1009994</v>
      </c>
      <c r="D7" t="s">
        <v>41</v>
      </c>
      <c r="F7" t="s">
        <v>42</v>
      </c>
      <c r="G7" t="s">
        <v>47</v>
      </c>
      <c r="H7" s="1">
        <v>155.93</v>
      </c>
      <c r="I7" s="6">
        <v>287.03699999999998</v>
      </c>
      <c r="J7" s="6">
        <v>277.77800000000002</v>
      </c>
      <c r="K7" s="6">
        <v>165.28579999999999</v>
      </c>
      <c r="L7">
        <v>8</v>
      </c>
      <c r="M7">
        <v>0</v>
      </c>
      <c r="N7" t="b">
        <v>0</v>
      </c>
      <c r="O7" t="b">
        <v>0</v>
      </c>
      <c r="P7" t="b">
        <v>1</v>
      </c>
    </row>
    <row r="8" spans="1:32" x14ac:dyDescent="0.45">
      <c r="A8" t="s">
        <v>49</v>
      </c>
      <c r="B8" s="2">
        <v>1062095</v>
      </c>
      <c r="D8" t="s">
        <v>50</v>
      </c>
      <c r="F8" t="s">
        <v>51</v>
      </c>
      <c r="G8" t="s">
        <v>52</v>
      </c>
      <c r="H8" s="1">
        <v>159.49213</v>
      </c>
      <c r="I8" s="6">
        <v>259.26</v>
      </c>
      <c r="J8" s="6">
        <v>259.26</v>
      </c>
      <c r="K8" s="6">
        <v>169.06165780000001</v>
      </c>
      <c r="L8">
        <v>8</v>
      </c>
      <c r="M8">
        <v>30</v>
      </c>
      <c r="N8" t="b">
        <v>0</v>
      </c>
      <c r="O8" t="b">
        <v>0</v>
      </c>
      <c r="P8" t="b">
        <v>1</v>
      </c>
    </row>
    <row r="9" spans="1:32" x14ac:dyDescent="0.45">
      <c r="A9" t="s">
        <v>53</v>
      </c>
      <c r="B9" s="2">
        <v>6000012</v>
      </c>
      <c r="D9" t="s">
        <v>34</v>
      </c>
      <c r="F9" t="s">
        <v>51</v>
      </c>
      <c r="G9" t="s">
        <v>54</v>
      </c>
      <c r="H9" s="1">
        <v>870</v>
      </c>
      <c r="I9" s="6">
        <v>1000</v>
      </c>
      <c r="J9" s="6">
        <v>1000</v>
      </c>
      <c r="K9" s="6">
        <v>922.2</v>
      </c>
      <c r="L9">
        <v>0</v>
      </c>
      <c r="M9">
        <v>0</v>
      </c>
      <c r="N9" t="b">
        <v>0</v>
      </c>
      <c r="O9" t="b">
        <v>0</v>
      </c>
      <c r="P9" t="b">
        <v>1</v>
      </c>
    </row>
    <row r="10" spans="1:32" x14ac:dyDescent="0.45">
      <c r="A10" t="s">
        <v>55</v>
      </c>
      <c r="B10" s="2">
        <v>6000013</v>
      </c>
      <c r="C10" t="s">
        <v>33</v>
      </c>
      <c r="D10" t="s">
        <v>34</v>
      </c>
      <c r="E10" s="5" t="s">
        <v>33</v>
      </c>
      <c r="F10" t="s">
        <v>51</v>
      </c>
      <c r="G10" t="s">
        <v>54</v>
      </c>
      <c r="H10" s="1">
        <v>750</v>
      </c>
      <c r="I10" s="6">
        <v>1000</v>
      </c>
      <c r="J10" s="6">
        <v>1000</v>
      </c>
      <c r="K10" s="6">
        <v>795</v>
      </c>
      <c r="L10">
        <v>0</v>
      </c>
      <c r="M10">
        <v>0</v>
      </c>
      <c r="N10" t="b">
        <v>0</v>
      </c>
      <c r="O10" t="b">
        <v>0</v>
      </c>
      <c r="P10" t="b">
        <v>1</v>
      </c>
    </row>
    <row r="11" spans="1:32" x14ac:dyDescent="0.45">
      <c r="A11" t="s">
        <v>56</v>
      </c>
      <c r="B11" s="2" t="s">
        <v>57</v>
      </c>
      <c r="F11" t="s">
        <v>58</v>
      </c>
      <c r="H11" s="1">
        <v>0</v>
      </c>
      <c r="I11" s="6">
        <v>60.185189999999999</v>
      </c>
      <c r="J11" s="6">
        <v>55.555500000000002</v>
      </c>
      <c r="K11" s="6">
        <v>60.185189999999999</v>
      </c>
      <c r="L11">
        <v>0</v>
      </c>
      <c r="M11">
        <v>0</v>
      </c>
      <c r="N11" t="b">
        <v>0</v>
      </c>
      <c r="O11" t="b">
        <v>0</v>
      </c>
      <c r="P11" t="b">
        <v>1</v>
      </c>
    </row>
    <row r="12" spans="1:32" x14ac:dyDescent="0.45">
      <c r="A12" t="s">
        <v>59</v>
      </c>
      <c r="B12" s="2">
        <v>1008434</v>
      </c>
      <c r="D12" t="s">
        <v>41</v>
      </c>
      <c r="F12" t="s">
        <v>35</v>
      </c>
      <c r="G12" t="s">
        <v>60</v>
      </c>
      <c r="H12" s="1">
        <v>41.34</v>
      </c>
      <c r="I12" s="6">
        <v>101.85</v>
      </c>
      <c r="J12" s="6">
        <v>92.59</v>
      </c>
      <c r="K12" s="6">
        <v>43.820399999999999</v>
      </c>
      <c r="L12">
        <v>8</v>
      </c>
      <c r="M12">
        <v>0</v>
      </c>
      <c r="N12" t="b">
        <v>0</v>
      </c>
      <c r="O12" t="b">
        <v>0</v>
      </c>
      <c r="P12" t="b">
        <v>1</v>
      </c>
    </row>
    <row r="13" spans="1:32" x14ac:dyDescent="0.45">
      <c r="A13" t="s">
        <v>61</v>
      </c>
      <c r="B13" s="2">
        <v>1006814</v>
      </c>
      <c r="D13" t="s">
        <v>41</v>
      </c>
      <c r="F13" t="s">
        <v>35</v>
      </c>
      <c r="G13" t="s">
        <v>62</v>
      </c>
      <c r="H13" s="1">
        <v>17.54</v>
      </c>
      <c r="I13" s="6">
        <v>50.925899999999999</v>
      </c>
      <c r="J13" s="6">
        <v>45.37</v>
      </c>
      <c r="K13" s="6">
        <v>18.592400000000001</v>
      </c>
      <c r="L13">
        <v>8</v>
      </c>
      <c r="M13">
        <v>0</v>
      </c>
      <c r="N13" t="b">
        <v>0</v>
      </c>
      <c r="O13" t="b">
        <v>0</v>
      </c>
      <c r="P13" t="b">
        <v>1</v>
      </c>
    </row>
    <row r="14" spans="1:32" x14ac:dyDescent="0.45">
      <c r="A14" t="s">
        <v>63</v>
      </c>
      <c r="B14" s="2">
        <v>6000165</v>
      </c>
      <c r="D14" t="s">
        <v>34</v>
      </c>
      <c r="F14" t="s">
        <v>42</v>
      </c>
      <c r="G14" t="s">
        <v>47</v>
      </c>
      <c r="H14" s="1">
        <v>16.66667</v>
      </c>
      <c r="I14" s="6">
        <v>37.370399999999997</v>
      </c>
      <c r="J14" s="6">
        <v>32</v>
      </c>
      <c r="K14" s="6">
        <v>17.666670199999999</v>
      </c>
      <c r="L14">
        <v>8</v>
      </c>
      <c r="M14">
        <v>0</v>
      </c>
      <c r="N14" t="b">
        <v>0</v>
      </c>
      <c r="O14" t="b">
        <v>0</v>
      </c>
      <c r="P14" t="b">
        <v>1</v>
      </c>
    </row>
    <row r="15" spans="1:32" x14ac:dyDescent="0.45">
      <c r="A15" t="s">
        <v>64</v>
      </c>
      <c r="B15" s="2">
        <v>6000014</v>
      </c>
      <c r="D15" t="s">
        <v>34</v>
      </c>
      <c r="F15" t="s">
        <v>42</v>
      </c>
      <c r="G15" t="s">
        <v>65</v>
      </c>
      <c r="H15" s="1">
        <v>90</v>
      </c>
      <c r="I15" s="6">
        <v>100</v>
      </c>
      <c r="J15" s="6">
        <v>100</v>
      </c>
      <c r="K15" s="6">
        <v>95.4</v>
      </c>
      <c r="L15">
        <v>8</v>
      </c>
      <c r="M15">
        <v>0</v>
      </c>
      <c r="N15" t="b">
        <v>0</v>
      </c>
      <c r="O15" t="b">
        <v>0</v>
      </c>
      <c r="P15" t="b">
        <v>1</v>
      </c>
    </row>
    <row r="16" spans="1:32" x14ac:dyDescent="0.45">
      <c r="A16" t="s">
        <v>66</v>
      </c>
      <c r="B16" s="2">
        <v>1010265</v>
      </c>
      <c r="D16" t="s">
        <v>67</v>
      </c>
      <c r="F16" t="s">
        <v>42</v>
      </c>
      <c r="G16" t="s">
        <v>68</v>
      </c>
      <c r="H16" s="1">
        <v>38.31</v>
      </c>
      <c r="I16" s="6">
        <v>64.814809999999994</v>
      </c>
      <c r="J16" s="6">
        <v>60</v>
      </c>
      <c r="K16" s="6">
        <v>40.608600000000003</v>
      </c>
      <c r="L16">
        <v>8</v>
      </c>
      <c r="M16">
        <v>0</v>
      </c>
      <c r="N16" t="b">
        <v>0</v>
      </c>
      <c r="O16" t="b">
        <v>0</v>
      </c>
      <c r="P16" t="b">
        <v>1</v>
      </c>
    </row>
    <row r="17" spans="1:17" x14ac:dyDescent="0.45">
      <c r="A17" t="s">
        <v>69</v>
      </c>
      <c r="B17" s="2">
        <v>6000015</v>
      </c>
      <c r="D17" t="s">
        <v>34</v>
      </c>
      <c r="F17" t="s">
        <v>51</v>
      </c>
      <c r="G17" t="s">
        <v>70</v>
      </c>
      <c r="H17" s="1">
        <v>0</v>
      </c>
      <c r="I17" s="6">
        <v>5</v>
      </c>
      <c r="J17" s="6">
        <v>5</v>
      </c>
      <c r="K17" s="6">
        <v>5</v>
      </c>
      <c r="L17">
        <v>8</v>
      </c>
      <c r="M17">
        <v>0</v>
      </c>
      <c r="N17" t="b">
        <v>0</v>
      </c>
      <c r="O17" t="b">
        <v>0</v>
      </c>
      <c r="P17" t="b">
        <v>1</v>
      </c>
    </row>
    <row r="18" spans="1:17" x14ac:dyDescent="0.45">
      <c r="A18" t="s">
        <v>71</v>
      </c>
      <c r="B18" s="2">
        <v>6000016</v>
      </c>
      <c r="D18" t="s">
        <v>34</v>
      </c>
      <c r="F18" t="s">
        <v>35</v>
      </c>
      <c r="G18" t="s">
        <v>72</v>
      </c>
      <c r="H18" s="1">
        <v>14.13068</v>
      </c>
      <c r="I18" s="6">
        <v>23.148150000000001</v>
      </c>
      <c r="J18" s="6">
        <v>17.79</v>
      </c>
      <c r="K18" s="6">
        <v>14.9785208</v>
      </c>
      <c r="L18">
        <v>8</v>
      </c>
      <c r="M18">
        <v>0</v>
      </c>
      <c r="N18" t="b">
        <v>0</v>
      </c>
      <c r="O18" t="b">
        <v>0</v>
      </c>
      <c r="P18" t="b">
        <v>1</v>
      </c>
    </row>
    <row r="19" spans="1:17" x14ac:dyDescent="0.45">
      <c r="A19" t="s">
        <v>73</v>
      </c>
      <c r="B19" s="2">
        <v>1089715</v>
      </c>
      <c r="D19" t="s">
        <v>41</v>
      </c>
      <c r="F19" t="s">
        <v>35</v>
      </c>
      <c r="G19" t="s">
        <v>74</v>
      </c>
      <c r="H19" s="1">
        <v>49.68289</v>
      </c>
      <c r="I19" s="6">
        <v>101.8519</v>
      </c>
      <c r="J19" s="6">
        <v>92.59</v>
      </c>
      <c r="K19" s="6">
        <v>52.663863399999997</v>
      </c>
      <c r="L19">
        <v>8</v>
      </c>
      <c r="M19">
        <v>60</v>
      </c>
      <c r="N19" t="b">
        <v>0</v>
      </c>
      <c r="O19" t="b">
        <v>0</v>
      </c>
      <c r="P19" t="b">
        <v>1</v>
      </c>
    </row>
    <row r="20" spans="1:17" x14ac:dyDescent="0.45">
      <c r="A20" t="s">
        <v>75</v>
      </c>
      <c r="B20" s="3" t="s">
        <v>76</v>
      </c>
      <c r="D20" t="s">
        <v>50</v>
      </c>
      <c r="F20" t="s">
        <v>51</v>
      </c>
      <c r="G20" t="s">
        <v>77</v>
      </c>
      <c r="H20" s="1">
        <v>25</v>
      </c>
      <c r="I20" s="6">
        <v>35.659999999999997</v>
      </c>
      <c r="J20" s="6">
        <v>35.659999999999997</v>
      </c>
      <c r="K20" s="6">
        <v>26.5</v>
      </c>
      <c r="L20">
        <v>8</v>
      </c>
      <c r="M20">
        <v>0</v>
      </c>
      <c r="N20" t="b">
        <v>0</v>
      </c>
      <c r="O20" t="b">
        <v>0</v>
      </c>
      <c r="P20" t="b">
        <v>1</v>
      </c>
    </row>
    <row r="21" spans="1:17" x14ac:dyDescent="0.45">
      <c r="A21" t="s">
        <v>78</v>
      </c>
      <c r="B21" s="3" t="s">
        <v>79</v>
      </c>
      <c r="D21" t="s">
        <v>50</v>
      </c>
      <c r="F21" t="s">
        <v>51</v>
      </c>
      <c r="G21" t="s">
        <v>80</v>
      </c>
      <c r="H21" s="1">
        <v>120</v>
      </c>
      <c r="I21" s="6">
        <v>172.8</v>
      </c>
      <c r="J21" s="6">
        <v>172.8</v>
      </c>
      <c r="K21" s="6">
        <v>127.2</v>
      </c>
      <c r="L21">
        <v>8</v>
      </c>
      <c r="M21">
        <v>0</v>
      </c>
      <c r="N21" t="b">
        <v>0</v>
      </c>
      <c r="O21" t="b">
        <v>0</v>
      </c>
      <c r="P21" t="b">
        <v>1</v>
      </c>
    </row>
    <row r="22" spans="1:17" x14ac:dyDescent="0.45">
      <c r="A22" t="s">
        <v>81</v>
      </c>
      <c r="B22" s="2">
        <v>6000214</v>
      </c>
      <c r="D22" t="s">
        <v>34</v>
      </c>
      <c r="F22" t="s">
        <v>35</v>
      </c>
      <c r="G22" t="s">
        <v>82</v>
      </c>
      <c r="H22" s="1">
        <v>11.188269999999999</v>
      </c>
      <c r="I22" s="6">
        <v>23.148150000000001</v>
      </c>
      <c r="J22" s="6">
        <v>18.52</v>
      </c>
      <c r="K22" s="6">
        <v>11.8595662</v>
      </c>
      <c r="L22">
        <v>8</v>
      </c>
      <c r="M22">
        <v>0</v>
      </c>
      <c r="N22" t="b">
        <v>0</v>
      </c>
      <c r="O22" t="b">
        <v>0</v>
      </c>
      <c r="P22" t="b">
        <v>1</v>
      </c>
    </row>
    <row r="23" spans="1:17" x14ac:dyDescent="0.45">
      <c r="A23" t="s">
        <v>83</v>
      </c>
      <c r="B23" s="2">
        <v>1060184</v>
      </c>
      <c r="D23" t="s">
        <v>41</v>
      </c>
      <c r="F23" t="s">
        <v>38</v>
      </c>
      <c r="G23" t="s">
        <v>84</v>
      </c>
      <c r="H23" s="1">
        <v>17.559999999999999</v>
      </c>
      <c r="I23" s="6">
        <v>45</v>
      </c>
      <c r="J23" s="6">
        <v>45</v>
      </c>
      <c r="K23" s="6">
        <v>18.613600000000002</v>
      </c>
      <c r="L23">
        <v>8</v>
      </c>
      <c r="M23">
        <v>0</v>
      </c>
      <c r="N23" t="b">
        <v>0</v>
      </c>
      <c r="O23" t="b">
        <v>0</v>
      </c>
      <c r="P23" t="b">
        <v>1</v>
      </c>
    </row>
    <row r="24" spans="1:17" x14ac:dyDescent="0.45">
      <c r="A24" t="s">
        <v>85</v>
      </c>
      <c r="B24" s="2">
        <v>3003179</v>
      </c>
      <c r="D24" t="s">
        <v>41</v>
      </c>
      <c r="F24" t="s">
        <v>38</v>
      </c>
      <c r="G24" t="s">
        <v>86</v>
      </c>
      <c r="H24" s="1">
        <v>18.97</v>
      </c>
      <c r="I24" s="6">
        <v>60.185189999999999</v>
      </c>
      <c r="J24" s="6">
        <v>55.56</v>
      </c>
      <c r="K24" s="6">
        <v>20.1082</v>
      </c>
      <c r="L24">
        <v>8</v>
      </c>
      <c r="M24">
        <v>0</v>
      </c>
      <c r="N24" t="b">
        <v>0</v>
      </c>
      <c r="O24" t="b">
        <v>0</v>
      </c>
      <c r="P24" t="b">
        <v>1</v>
      </c>
    </row>
    <row r="25" spans="1:17" x14ac:dyDescent="0.45">
      <c r="A25" t="s">
        <v>87</v>
      </c>
      <c r="B25" s="2">
        <v>574</v>
      </c>
      <c r="D25" t="s">
        <v>41</v>
      </c>
      <c r="F25" t="s">
        <v>35</v>
      </c>
      <c r="G25" t="s">
        <v>88</v>
      </c>
      <c r="H25" s="1">
        <v>18.54</v>
      </c>
      <c r="I25" s="6">
        <v>30</v>
      </c>
      <c r="J25" s="6">
        <v>30</v>
      </c>
      <c r="K25" s="6">
        <v>19.6524</v>
      </c>
      <c r="L25">
        <v>8</v>
      </c>
      <c r="M25">
        <v>0</v>
      </c>
      <c r="N25" t="b">
        <v>0</v>
      </c>
      <c r="O25" t="b">
        <v>0</v>
      </c>
      <c r="P25" t="b">
        <v>1</v>
      </c>
    </row>
    <row r="26" spans="1:17" x14ac:dyDescent="0.45">
      <c r="A26" t="s">
        <v>89</v>
      </c>
      <c r="B26" s="2">
        <v>6000017</v>
      </c>
      <c r="D26" t="s">
        <v>34</v>
      </c>
      <c r="F26" t="s">
        <v>42</v>
      </c>
      <c r="G26" t="s">
        <v>65</v>
      </c>
      <c r="H26" s="1">
        <v>19.5</v>
      </c>
      <c r="I26" s="6">
        <v>50</v>
      </c>
      <c r="J26" s="6">
        <v>50</v>
      </c>
      <c r="K26" s="6">
        <v>20.67</v>
      </c>
      <c r="L26">
        <v>8</v>
      </c>
      <c r="M26">
        <v>0</v>
      </c>
      <c r="N26" t="b">
        <v>0</v>
      </c>
      <c r="O26" t="b">
        <v>0</v>
      </c>
      <c r="P26" t="b">
        <v>1</v>
      </c>
    </row>
    <row r="27" spans="1:17" x14ac:dyDescent="0.45">
      <c r="A27" t="s">
        <v>90</v>
      </c>
      <c r="B27" s="2">
        <v>3000423</v>
      </c>
      <c r="D27" t="s">
        <v>41</v>
      </c>
      <c r="F27" t="s">
        <v>42</v>
      </c>
      <c r="G27" t="s">
        <v>47</v>
      </c>
      <c r="H27" s="1">
        <v>138.88999999999999</v>
      </c>
      <c r="I27" s="6">
        <v>150</v>
      </c>
      <c r="J27" s="6">
        <v>150</v>
      </c>
      <c r="K27" s="6">
        <v>147.2234</v>
      </c>
      <c r="L27">
        <v>8</v>
      </c>
      <c r="M27">
        <v>0</v>
      </c>
      <c r="N27" t="b">
        <v>0</v>
      </c>
      <c r="O27" t="b">
        <v>0</v>
      </c>
      <c r="P27" t="b">
        <v>1</v>
      </c>
    </row>
    <row r="28" spans="1:17" x14ac:dyDescent="0.45">
      <c r="A28" t="s">
        <v>91</v>
      </c>
      <c r="B28" s="2">
        <v>6000018</v>
      </c>
      <c r="D28" t="s">
        <v>34</v>
      </c>
      <c r="F28" t="s">
        <v>42</v>
      </c>
      <c r="G28" t="s">
        <v>65</v>
      </c>
      <c r="H28" s="1">
        <v>90</v>
      </c>
      <c r="I28" s="6">
        <v>151.19999999999999</v>
      </c>
      <c r="J28" s="6">
        <v>151.19999999999999</v>
      </c>
      <c r="K28" s="6">
        <v>95.4</v>
      </c>
      <c r="L28">
        <v>8</v>
      </c>
      <c r="M28">
        <v>0</v>
      </c>
      <c r="N28" t="b">
        <v>0</v>
      </c>
      <c r="O28" t="b">
        <v>0</v>
      </c>
      <c r="P28" t="b">
        <v>1</v>
      </c>
    </row>
    <row r="29" spans="1:17" x14ac:dyDescent="0.45">
      <c r="A29" t="s">
        <v>92</v>
      </c>
      <c r="B29" s="2">
        <v>187</v>
      </c>
      <c r="D29" t="s">
        <v>41</v>
      </c>
      <c r="F29" t="s">
        <v>35</v>
      </c>
      <c r="G29" t="s">
        <v>72</v>
      </c>
      <c r="H29" s="1">
        <v>9.59</v>
      </c>
      <c r="I29" s="6">
        <v>19.440000000000001</v>
      </c>
      <c r="J29" s="6">
        <v>19.440000000000001</v>
      </c>
      <c r="K29" s="6">
        <v>10.1654</v>
      </c>
      <c r="L29">
        <v>8</v>
      </c>
      <c r="M29">
        <v>0</v>
      </c>
      <c r="N29" t="b">
        <v>0</v>
      </c>
      <c r="O29" t="b">
        <v>0</v>
      </c>
      <c r="P29" t="b">
        <v>1</v>
      </c>
    </row>
    <row r="30" spans="1:17" x14ac:dyDescent="0.45">
      <c r="A30" t="s">
        <v>93</v>
      </c>
      <c r="B30" s="2">
        <v>1010289</v>
      </c>
      <c r="D30" t="s">
        <v>94</v>
      </c>
      <c r="F30" t="s">
        <v>42</v>
      </c>
      <c r="G30" t="s">
        <v>95</v>
      </c>
      <c r="H30" s="1">
        <v>146.19</v>
      </c>
      <c r="I30" s="6">
        <v>287.03699999999998</v>
      </c>
      <c r="J30" s="6">
        <v>277.77999999999997</v>
      </c>
      <c r="K30" s="6">
        <v>154.9614</v>
      </c>
      <c r="L30">
        <v>8</v>
      </c>
      <c r="M30">
        <v>50</v>
      </c>
      <c r="N30" t="b">
        <v>0</v>
      </c>
      <c r="O30" t="b">
        <v>0</v>
      </c>
      <c r="P30" t="b">
        <v>1</v>
      </c>
      <c r="Q30" s="4">
        <f>(K30-H30)/K30</f>
        <v>5.6603773584905662E-2</v>
      </c>
    </row>
    <row r="31" spans="1:17" x14ac:dyDescent="0.45">
      <c r="A31" t="s">
        <v>96</v>
      </c>
      <c r="B31" s="2">
        <v>1010439</v>
      </c>
      <c r="D31" t="s">
        <v>94</v>
      </c>
      <c r="F31" t="s">
        <v>42</v>
      </c>
      <c r="G31" t="s">
        <v>65</v>
      </c>
      <c r="H31" s="1">
        <v>104.38</v>
      </c>
      <c r="I31" s="6">
        <v>205.2</v>
      </c>
      <c r="J31" s="6">
        <v>205.2</v>
      </c>
      <c r="K31" s="6">
        <v>110.64279999999999</v>
      </c>
      <c r="L31">
        <v>8</v>
      </c>
      <c r="M31">
        <v>0</v>
      </c>
      <c r="N31" t="b">
        <v>0</v>
      </c>
      <c r="O31" t="b">
        <v>0</v>
      </c>
      <c r="P31" t="b">
        <v>1</v>
      </c>
      <c r="Q31" s="4">
        <f>(K31-H31)/K31</f>
        <v>5.6603773584905648E-2</v>
      </c>
    </row>
    <row r="32" spans="1:17" x14ac:dyDescent="0.45">
      <c r="A32" t="s">
        <v>97</v>
      </c>
      <c r="B32" s="2">
        <v>1008615</v>
      </c>
      <c r="D32" t="s">
        <v>94</v>
      </c>
      <c r="F32" t="s">
        <v>42</v>
      </c>
      <c r="G32" t="s">
        <v>65</v>
      </c>
      <c r="H32" s="1">
        <v>112.1</v>
      </c>
      <c r="I32" s="6">
        <v>216</v>
      </c>
      <c r="J32" s="6">
        <v>216</v>
      </c>
      <c r="K32" s="6">
        <v>118.82599999999999</v>
      </c>
      <c r="L32">
        <v>8</v>
      </c>
      <c r="M32">
        <v>50</v>
      </c>
      <c r="N32" t="b">
        <v>0</v>
      </c>
      <c r="O32" t="b">
        <v>0</v>
      </c>
      <c r="P32" t="b">
        <v>1</v>
      </c>
      <c r="Q32" s="4">
        <f>(K32-H32)/K32</f>
        <v>5.6603773584905655E-2</v>
      </c>
    </row>
    <row r="33" spans="1:17" x14ac:dyDescent="0.45">
      <c r="A33" t="s">
        <v>98</v>
      </c>
      <c r="B33" s="2">
        <v>1010286</v>
      </c>
      <c r="D33" t="s">
        <v>94</v>
      </c>
      <c r="F33" t="s">
        <v>42</v>
      </c>
      <c r="G33" t="s">
        <v>99</v>
      </c>
      <c r="H33" s="1">
        <v>149.78</v>
      </c>
      <c r="I33" s="6">
        <v>199.8</v>
      </c>
      <c r="J33" s="6">
        <v>199.8</v>
      </c>
      <c r="K33" s="6">
        <v>158.76679999999999</v>
      </c>
      <c r="L33">
        <v>8</v>
      </c>
      <c r="M33">
        <v>0</v>
      </c>
      <c r="N33" t="b">
        <v>0</v>
      </c>
      <c r="O33" t="b">
        <v>0</v>
      </c>
      <c r="P33" t="b">
        <v>1</v>
      </c>
      <c r="Q33" s="4">
        <f>(K33-H33)/K33</f>
        <v>5.6603773584905592E-2</v>
      </c>
    </row>
    <row r="34" spans="1:17" x14ac:dyDescent="0.45">
      <c r="A34" t="s">
        <v>100</v>
      </c>
      <c r="B34" s="2">
        <v>6000019</v>
      </c>
      <c r="D34" t="s">
        <v>34</v>
      </c>
      <c r="F34" t="s">
        <v>42</v>
      </c>
      <c r="G34" t="s">
        <v>101</v>
      </c>
      <c r="H34" s="1">
        <v>121</v>
      </c>
      <c r="I34" s="6">
        <v>159.46700000000001</v>
      </c>
      <c r="J34" s="6">
        <v>154.32</v>
      </c>
      <c r="K34" s="6">
        <v>128.26</v>
      </c>
      <c r="L34">
        <v>8</v>
      </c>
      <c r="M34">
        <v>0</v>
      </c>
      <c r="N34" t="b">
        <v>0</v>
      </c>
      <c r="O34" t="b">
        <v>0</v>
      </c>
      <c r="P34" t="b">
        <v>1</v>
      </c>
    </row>
    <row r="35" spans="1:17" x14ac:dyDescent="0.45">
      <c r="A35" t="s">
        <v>102</v>
      </c>
      <c r="B35" s="2">
        <v>1101084</v>
      </c>
      <c r="D35" t="s">
        <v>94</v>
      </c>
      <c r="F35" t="s">
        <v>42</v>
      </c>
      <c r="G35" t="s">
        <v>101</v>
      </c>
      <c r="H35" s="1">
        <v>77.239999999999995</v>
      </c>
      <c r="I35" s="6">
        <v>159.46700000000001</v>
      </c>
      <c r="J35" s="6">
        <v>154.32</v>
      </c>
      <c r="K35" s="6">
        <v>81.874399999999994</v>
      </c>
      <c r="L35">
        <v>8</v>
      </c>
      <c r="M35">
        <v>180</v>
      </c>
      <c r="N35" t="b">
        <v>0</v>
      </c>
      <c r="O35" t="b">
        <v>0</v>
      </c>
      <c r="P35" t="b">
        <v>1</v>
      </c>
      <c r="Q35" s="4">
        <f>(K35-H35)/K35</f>
        <v>5.6603773584905655E-2</v>
      </c>
    </row>
    <row r="36" spans="1:17" x14ac:dyDescent="0.45">
      <c r="A36" t="s">
        <v>103</v>
      </c>
      <c r="B36" s="2">
        <v>1071094</v>
      </c>
      <c r="D36" t="s">
        <v>94</v>
      </c>
      <c r="F36" t="s">
        <v>42</v>
      </c>
      <c r="G36" t="s">
        <v>65</v>
      </c>
      <c r="H36" s="1">
        <v>205.77</v>
      </c>
      <c r="I36" s="6">
        <v>399.6</v>
      </c>
      <c r="J36" s="6">
        <v>399.6</v>
      </c>
      <c r="K36" s="6">
        <v>218.11619999999999</v>
      </c>
      <c r="L36">
        <v>8</v>
      </c>
      <c r="M36">
        <v>50</v>
      </c>
      <c r="N36" t="b">
        <v>0</v>
      </c>
      <c r="O36" t="b">
        <v>0</v>
      </c>
      <c r="P36" t="b">
        <v>1</v>
      </c>
      <c r="Q36" s="4">
        <f>(K36-H36)/K36</f>
        <v>5.6603773584905578E-2</v>
      </c>
    </row>
    <row r="37" spans="1:17" x14ac:dyDescent="0.45">
      <c r="A37" t="s">
        <v>104</v>
      </c>
      <c r="B37" s="2">
        <v>1101089</v>
      </c>
      <c r="D37" t="s">
        <v>94</v>
      </c>
      <c r="F37" t="s">
        <v>42</v>
      </c>
      <c r="G37" t="s">
        <v>65</v>
      </c>
      <c r="H37" s="1">
        <v>119.06</v>
      </c>
      <c r="I37" s="6">
        <v>236.11099999999999</v>
      </c>
      <c r="J37" s="6">
        <v>230</v>
      </c>
      <c r="K37" s="6">
        <v>126.20359999999999</v>
      </c>
      <c r="L37">
        <v>8</v>
      </c>
      <c r="M37">
        <v>50</v>
      </c>
      <c r="N37" t="b">
        <v>0</v>
      </c>
      <c r="O37" t="b">
        <v>0</v>
      </c>
      <c r="P37" t="b">
        <v>1</v>
      </c>
      <c r="Q37" s="4">
        <f>(K37-H37)/K37</f>
        <v>5.6603773584905599E-2</v>
      </c>
    </row>
    <row r="38" spans="1:17" x14ac:dyDescent="0.45">
      <c r="A38" t="s">
        <v>105</v>
      </c>
      <c r="B38" s="2">
        <v>3003312</v>
      </c>
      <c r="D38" t="s">
        <v>94</v>
      </c>
      <c r="F38" t="s">
        <v>42</v>
      </c>
      <c r="G38" t="s">
        <v>65</v>
      </c>
      <c r="H38" s="1">
        <v>155.1369</v>
      </c>
      <c r="I38" s="6">
        <v>313.2</v>
      </c>
      <c r="J38" s="6">
        <v>313.2</v>
      </c>
      <c r="K38" s="6">
        <v>164.44511399999999</v>
      </c>
      <c r="L38">
        <v>8</v>
      </c>
      <c r="M38">
        <v>20</v>
      </c>
      <c r="N38" t="b">
        <v>0</v>
      </c>
      <c r="O38" t="b">
        <v>0</v>
      </c>
      <c r="P38" t="b">
        <v>1</v>
      </c>
      <c r="Q38" s="4">
        <f>(K38-H38)/K38</f>
        <v>5.660377358490562E-2</v>
      </c>
    </row>
    <row r="39" spans="1:17" x14ac:dyDescent="0.45">
      <c r="A39" t="s">
        <v>106</v>
      </c>
      <c r="B39" s="2">
        <v>1101090</v>
      </c>
      <c r="D39" t="s">
        <v>94</v>
      </c>
      <c r="F39" t="s">
        <v>42</v>
      </c>
      <c r="G39" t="s">
        <v>107</v>
      </c>
      <c r="H39" s="1">
        <v>183.71</v>
      </c>
      <c r="I39" s="6">
        <v>360</v>
      </c>
      <c r="J39" s="6">
        <v>360</v>
      </c>
      <c r="K39" s="6">
        <v>194.73259999999999</v>
      </c>
      <c r="L39">
        <v>8</v>
      </c>
      <c r="M39">
        <v>0</v>
      </c>
      <c r="N39" t="b">
        <v>0</v>
      </c>
      <c r="O39" t="b">
        <v>0</v>
      </c>
      <c r="P39" t="b">
        <v>1</v>
      </c>
      <c r="Q39" s="4">
        <f>(K39-H39)/K39</f>
        <v>5.6603773584905578E-2</v>
      </c>
    </row>
    <row r="40" spans="1:17" x14ac:dyDescent="0.45">
      <c r="A40" t="s">
        <v>108</v>
      </c>
      <c r="B40" s="2">
        <v>1006211</v>
      </c>
      <c r="D40" t="s">
        <v>94</v>
      </c>
      <c r="F40" t="s">
        <v>42</v>
      </c>
      <c r="G40" t="s">
        <v>65</v>
      </c>
      <c r="H40" s="1">
        <v>41.554470000000002</v>
      </c>
      <c r="I40" s="6">
        <v>78.703699999999998</v>
      </c>
      <c r="J40" s="6">
        <v>75</v>
      </c>
      <c r="K40" s="6">
        <v>44.047738199999998</v>
      </c>
      <c r="L40">
        <v>8</v>
      </c>
      <c r="M40">
        <v>50</v>
      </c>
      <c r="N40" t="b">
        <v>0</v>
      </c>
      <c r="O40" t="b">
        <v>0</v>
      </c>
      <c r="P40" t="b">
        <v>1</v>
      </c>
      <c r="Q40" s="4">
        <f>(K40-H40)/K40</f>
        <v>5.6603773584905565E-2</v>
      </c>
    </row>
    <row r="41" spans="1:17" x14ac:dyDescent="0.45">
      <c r="A41" t="s">
        <v>109</v>
      </c>
      <c r="B41" s="2">
        <v>1008297</v>
      </c>
      <c r="D41" t="s">
        <v>94</v>
      </c>
      <c r="F41" t="s">
        <v>42</v>
      </c>
      <c r="G41" t="s">
        <v>47</v>
      </c>
      <c r="H41" s="1">
        <v>116.09</v>
      </c>
      <c r="I41" s="6">
        <v>162</v>
      </c>
      <c r="J41" s="6">
        <v>162</v>
      </c>
      <c r="K41" s="6">
        <v>123.05540000000001</v>
      </c>
      <c r="L41">
        <v>8</v>
      </c>
      <c r="M41">
        <v>0</v>
      </c>
      <c r="N41" t="b">
        <v>0</v>
      </c>
      <c r="O41" t="b">
        <v>0</v>
      </c>
      <c r="P41" t="b">
        <v>1</v>
      </c>
      <c r="Q41" s="4">
        <f>(K41-H41)/K41</f>
        <v>5.6603773584905676E-2</v>
      </c>
    </row>
    <row r="42" spans="1:17" x14ac:dyDescent="0.45">
      <c r="A42" t="s">
        <v>110</v>
      </c>
      <c r="B42" s="2">
        <v>1071054</v>
      </c>
      <c r="D42" t="s">
        <v>94</v>
      </c>
      <c r="F42" t="s">
        <v>42</v>
      </c>
      <c r="G42" t="s">
        <v>65</v>
      </c>
      <c r="H42" s="1">
        <v>161.47501</v>
      </c>
      <c r="I42" s="6">
        <v>314.81479999999999</v>
      </c>
      <c r="J42" s="6">
        <v>310</v>
      </c>
      <c r="K42" s="6">
        <v>171.1635106</v>
      </c>
      <c r="L42">
        <v>8</v>
      </c>
      <c r="M42">
        <v>50</v>
      </c>
      <c r="N42" t="b">
        <v>0</v>
      </c>
      <c r="O42" t="b">
        <v>0</v>
      </c>
      <c r="P42" t="b">
        <v>1</v>
      </c>
      <c r="Q42" s="4">
        <f>(K42-H42)/K42</f>
        <v>5.6603773584905648E-2</v>
      </c>
    </row>
    <row r="43" spans="1:17" x14ac:dyDescent="0.45">
      <c r="A43" t="s">
        <v>111</v>
      </c>
      <c r="B43" s="2">
        <v>3003429</v>
      </c>
      <c r="D43" t="s">
        <v>94</v>
      </c>
      <c r="F43" t="s">
        <v>42</v>
      </c>
      <c r="G43" t="s">
        <v>112</v>
      </c>
      <c r="H43" s="1">
        <v>22.51</v>
      </c>
      <c r="I43" s="6">
        <v>113.17</v>
      </c>
      <c r="J43" s="6">
        <v>110.08</v>
      </c>
      <c r="K43" s="6">
        <v>23.860600000000002</v>
      </c>
      <c r="L43">
        <v>8</v>
      </c>
      <c r="M43">
        <v>0</v>
      </c>
      <c r="N43" t="b">
        <v>0</v>
      </c>
      <c r="O43" t="b">
        <v>0</v>
      </c>
      <c r="P43" t="b">
        <v>1</v>
      </c>
      <c r="Q43" s="4">
        <f>(K43-H43)/K43</f>
        <v>5.6603773584905655E-2</v>
      </c>
    </row>
    <row r="44" spans="1:17" x14ac:dyDescent="0.45">
      <c r="A44" t="s">
        <v>113</v>
      </c>
      <c r="B44" s="2">
        <v>3003489</v>
      </c>
      <c r="D44" t="s">
        <v>94</v>
      </c>
      <c r="F44" t="s">
        <v>42</v>
      </c>
      <c r="G44" t="s">
        <v>68</v>
      </c>
      <c r="H44" s="1">
        <v>141.66999999999999</v>
      </c>
      <c r="I44" s="6">
        <v>184</v>
      </c>
      <c r="J44" s="6">
        <v>184</v>
      </c>
      <c r="K44" s="6">
        <v>150.17019999999999</v>
      </c>
      <c r="L44">
        <v>8</v>
      </c>
      <c r="M44">
        <v>20</v>
      </c>
      <c r="N44" t="b">
        <v>0</v>
      </c>
      <c r="O44" t="b">
        <v>0</v>
      </c>
      <c r="P44" t="b">
        <v>1</v>
      </c>
      <c r="Q44" s="4">
        <f>(K44-H44)/K44</f>
        <v>5.660377358490571E-2</v>
      </c>
    </row>
    <row r="45" spans="1:17" x14ac:dyDescent="0.45">
      <c r="A45" t="s">
        <v>114</v>
      </c>
      <c r="B45" s="2">
        <v>6000020</v>
      </c>
      <c r="D45" t="s">
        <v>34</v>
      </c>
      <c r="F45" t="s">
        <v>42</v>
      </c>
      <c r="G45" t="s">
        <v>68</v>
      </c>
      <c r="H45" s="1">
        <v>145</v>
      </c>
      <c r="I45" s="6">
        <v>216</v>
      </c>
      <c r="J45" s="6">
        <v>216</v>
      </c>
      <c r="K45" s="6">
        <v>153.69999999999999</v>
      </c>
      <c r="L45">
        <v>8</v>
      </c>
      <c r="M45">
        <v>0</v>
      </c>
      <c r="N45" t="b">
        <v>0</v>
      </c>
      <c r="O45" t="b">
        <v>0</v>
      </c>
      <c r="P45" t="b">
        <v>1</v>
      </c>
    </row>
    <row r="46" spans="1:17" ht="14.15" customHeight="1" x14ac:dyDescent="0.45">
      <c r="A46" t="s">
        <v>115</v>
      </c>
      <c r="B46" s="2">
        <v>3003490</v>
      </c>
      <c r="D46" t="s">
        <v>94</v>
      </c>
      <c r="F46" t="s">
        <v>42</v>
      </c>
      <c r="G46" t="s">
        <v>116</v>
      </c>
      <c r="H46" s="1">
        <v>207.06</v>
      </c>
      <c r="I46" s="6">
        <v>324</v>
      </c>
      <c r="J46" s="6">
        <v>324</v>
      </c>
      <c r="K46" s="6">
        <v>219.4836</v>
      </c>
      <c r="L46">
        <v>8</v>
      </c>
      <c r="M46">
        <v>0</v>
      </c>
      <c r="N46" t="b">
        <v>0</v>
      </c>
      <c r="O46" t="b">
        <v>0</v>
      </c>
      <c r="P46" t="b">
        <v>1</v>
      </c>
      <c r="Q46" s="4">
        <f>(K46-H46)/K46</f>
        <v>5.6603773584905634E-2</v>
      </c>
    </row>
    <row r="47" spans="1:17" x14ac:dyDescent="0.45">
      <c r="A47" t="s">
        <v>117</v>
      </c>
      <c r="B47" s="2">
        <v>3000645</v>
      </c>
      <c r="D47" t="s">
        <v>94</v>
      </c>
      <c r="F47" t="s">
        <v>42</v>
      </c>
      <c r="G47" t="s">
        <v>118</v>
      </c>
      <c r="H47" s="1">
        <v>197.01</v>
      </c>
      <c r="I47" s="6">
        <v>379.62959999999998</v>
      </c>
      <c r="J47" s="6">
        <v>370.37</v>
      </c>
      <c r="K47" s="6">
        <v>208.8306</v>
      </c>
      <c r="L47">
        <v>8</v>
      </c>
      <c r="M47">
        <v>20</v>
      </c>
      <c r="N47" t="b">
        <v>0</v>
      </c>
      <c r="O47" t="b">
        <v>0</v>
      </c>
      <c r="P47" t="b">
        <v>1</v>
      </c>
      <c r="Q47" s="4">
        <f>(K47-H47)/K47</f>
        <v>5.6603773584905724E-2</v>
      </c>
    </row>
    <row r="48" spans="1:17" x14ac:dyDescent="0.45">
      <c r="A48" t="s">
        <v>119</v>
      </c>
      <c r="B48" s="2">
        <v>1006439</v>
      </c>
      <c r="D48" t="s">
        <v>94</v>
      </c>
      <c r="F48" t="s">
        <v>42</v>
      </c>
      <c r="G48" t="s">
        <v>120</v>
      </c>
      <c r="H48" s="1">
        <v>159.86000000000001</v>
      </c>
      <c r="I48" s="6">
        <v>333.33300000000003</v>
      </c>
      <c r="J48" s="6">
        <v>324.07</v>
      </c>
      <c r="K48" s="6">
        <v>169.45160000000001</v>
      </c>
      <c r="L48">
        <v>8</v>
      </c>
      <c r="M48">
        <v>20</v>
      </c>
      <c r="N48" t="b">
        <v>0</v>
      </c>
      <c r="O48" t="b">
        <v>0</v>
      </c>
      <c r="P48" t="b">
        <v>1</v>
      </c>
      <c r="Q48" s="4">
        <f>(K48-H48)/K48</f>
        <v>5.6603773584905655E-2</v>
      </c>
    </row>
    <row r="49" spans="1:17" x14ac:dyDescent="0.45">
      <c r="A49" t="s">
        <v>121</v>
      </c>
      <c r="B49" s="2">
        <v>3003394</v>
      </c>
      <c r="D49" t="s">
        <v>94</v>
      </c>
      <c r="F49" t="s">
        <v>42</v>
      </c>
      <c r="G49" t="s">
        <v>122</v>
      </c>
      <c r="H49" s="1">
        <v>116.49</v>
      </c>
      <c r="I49" s="6">
        <v>248.4</v>
      </c>
      <c r="J49" s="6">
        <v>248.4</v>
      </c>
      <c r="K49" s="6">
        <v>123.4794</v>
      </c>
      <c r="L49">
        <v>8</v>
      </c>
      <c r="M49">
        <v>0</v>
      </c>
      <c r="N49" t="b">
        <v>0</v>
      </c>
      <c r="O49" t="b">
        <v>0</v>
      </c>
      <c r="P49" t="b">
        <v>1</v>
      </c>
      <c r="Q49" s="4">
        <f>(K49-H49)/K49</f>
        <v>5.6603773584905689E-2</v>
      </c>
    </row>
    <row r="50" spans="1:17" x14ac:dyDescent="0.45">
      <c r="A50" t="s">
        <v>123</v>
      </c>
      <c r="B50" s="2">
        <v>1007743</v>
      </c>
      <c r="D50" t="s">
        <v>94</v>
      </c>
      <c r="F50" t="s">
        <v>42</v>
      </c>
      <c r="G50" t="s">
        <v>60</v>
      </c>
      <c r="H50" s="1">
        <v>139.28368</v>
      </c>
      <c r="I50" s="6">
        <v>268.51850000000002</v>
      </c>
      <c r="J50" s="6">
        <v>259.26</v>
      </c>
      <c r="K50" s="6">
        <v>147.64070079999999</v>
      </c>
      <c r="L50">
        <v>8</v>
      </c>
      <c r="M50">
        <v>50</v>
      </c>
      <c r="N50" t="b">
        <v>0</v>
      </c>
      <c r="O50" t="b">
        <v>0</v>
      </c>
      <c r="P50" t="b">
        <v>1</v>
      </c>
      <c r="Q50" s="4">
        <f>(K50-H50)/K50</f>
        <v>5.6603773584905571E-2</v>
      </c>
    </row>
    <row r="51" spans="1:17" x14ac:dyDescent="0.45">
      <c r="A51" t="s">
        <v>124</v>
      </c>
      <c r="B51" s="2">
        <v>6000221</v>
      </c>
      <c r="D51" t="s">
        <v>34</v>
      </c>
      <c r="F51" t="s">
        <v>42</v>
      </c>
      <c r="G51" t="s">
        <v>60</v>
      </c>
      <c r="H51" s="1">
        <v>228</v>
      </c>
      <c r="I51" s="6">
        <v>324</v>
      </c>
      <c r="J51" s="6">
        <v>324</v>
      </c>
      <c r="K51" s="6">
        <v>241.68</v>
      </c>
      <c r="L51">
        <v>8</v>
      </c>
      <c r="M51">
        <v>0</v>
      </c>
      <c r="N51" t="b">
        <v>0</v>
      </c>
      <c r="O51" t="b">
        <v>0</v>
      </c>
      <c r="P51" t="b">
        <v>1</v>
      </c>
    </row>
    <row r="52" spans="1:17" x14ac:dyDescent="0.45">
      <c r="A52" t="s">
        <v>125</v>
      </c>
      <c r="B52" s="2">
        <v>3000630</v>
      </c>
      <c r="D52" t="s">
        <v>94</v>
      </c>
      <c r="F52" t="s">
        <v>42</v>
      </c>
      <c r="G52" t="s">
        <v>65</v>
      </c>
      <c r="H52" s="1">
        <v>132.54</v>
      </c>
      <c r="I52" s="6">
        <v>254.72</v>
      </c>
      <c r="J52" s="6">
        <v>254.72</v>
      </c>
      <c r="K52" s="6">
        <v>140.4924</v>
      </c>
      <c r="L52">
        <v>8</v>
      </c>
      <c r="M52">
        <v>50</v>
      </c>
      <c r="N52" t="b">
        <v>0</v>
      </c>
      <c r="O52" t="b">
        <v>0</v>
      </c>
      <c r="P52" t="b">
        <v>1</v>
      </c>
      <c r="Q52" s="4">
        <f>(K52-H52)/K52</f>
        <v>5.6603773584905738E-2</v>
      </c>
    </row>
    <row r="53" spans="1:17" x14ac:dyDescent="0.45">
      <c r="A53" t="s">
        <v>126</v>
      </c>
      <c r="B53" s="2">
        <v>3003477</v>
      </c>
      <c r="D53" t="s">
        <v>94</v>
      </c>
      <c r="F53" t="s">
        <v>42</v>
      </c>
      <c r="G53" t="s">
        <v>65</v>
      </c>
      <c r="H53" s="1">
        <v>63.546999999999997</v>
      </c>
      <c r="I53" s="6">
        <v>127.44</v>
      </c>
      <c r="J53" s="6">
        <v>127.44</v>
      </c>
      <c r="K53" s="6">
        <v>67.359819999999999</v>
      </c>
      <c r="L53">
        <v>8</v>
      </c>
      <c r="M53">
        <v>50</v>
      </c>
      <c r="N53" t="b">
        <v>0</v>
      </c>
      <c r="O53" t="b">
        <v>0</v>
      </c>
      <c r="P53" t="b">
        <v>1</v>
      </c>
      <c r="Q53" s="4">
        <f>(K53-H53)/K53</f>
        <v>5.6603773584905689E-2</v>
      </c>
    </row>
    <row r="54" spans="1:17" x14ac:dyDescent="0.45">
      <c r="A54" t="s">
        <v>127</v>
      </c>
      <c r="B54" s="2">
        <v>1101145</v>
      </c>
      <c r="D54" t="s">
        <v>94</v>
      </c>
      <c r="F54" t="s">
        <v>42</v>
      </c>
      <c r="G54" t="s">
        <v>65</v>
      </c>
      <c r="H54" s="1">
        <v>212.26682</v>
      </c>
      <c r="I54" s="6">
        <v>407.4074</v>
      </c>
      <c r="J54" s="6">
        <v>400</v>
      </c>
      <c r="K54" s="6">
        <v>225.00282920000001</v>
      </c>
      <c r="L54">
        <v>8</v>
      </c>
      <c r="M54">
        <v>20</v>
      </c>
      <c r="N54" t="b">
        <v>0</v>
      </c>
      <c r="O54" t="b">
        <v>0</v>
      </c>
      <c r="P54" t="b">
        <v>1</v>
      </c>
      <c r="Q54" s="4">
        <f>(K54-H54)/K54</f>
        <v>5.660377358490571E-2</v>
      </c>
    </row>
    <row r="55" spans="1:17" x14ac:dyDescent="0.45">
      <c r="A55" t="s">
        <v>128</v>
      </c>
      <c r="B55" s="2">
        <v>6000021</v>
      </c>
      <c r="D55" t="s">
        <v>34</v>
      </c>
      <c r="F55" t="s">
        <v>42</v>
      </c>
      <c r="G55" t="s">
        <v>129</v>
      </c>
      <c r="H55" s="1">
        <v>266.66667000000001</v>
      </c>
      <c r="I55" s="6">
        <v>333.33</v>
      </c>
      <c r="J55" s="6">
        <v>333.33</v>
      </c>
      <c r="K55" s="6">
        <v>282.6666702</v>
      </c>
      <c r="L55">
        <v>8</v>
      </c>
      <c r="M55">
        <v>0</v>
      </c>
      <c r="N55" t="b">
        <v>0</v>
      </c>
      <c r="O55" t="b">
        <v>0</v>
      </c>
      <c r="P55" t="b">
        <v>1</v>
      </c>
    </row>
    <row r="56" spans="1:17" x14ac:dyDescent="0.45">
      <c r="A56" t="s">
        <v>130</v>
      </c>
      <c r="B56" s="2">
        <v>1010363</v>
      </c>
      <c r="D56" t="s">
        <v>94</v>
      </c>
      <c r="F56" t="s">
        <v>42</v>
      </c>
      <c r="G56" t="s">
        <v>65</v>
      </c>
      <c r="H56" s="1">
        <v>169.82</v>
      </c>
      <c r="I56" s="6">
        <v>342.5926</v>
      </c>
      <c r="J56" s="6">
        <v>330</v>
      </c>
      <c r="K56" s="6">
        <v>180.00919999999999</v>
      </c>
      <c r="L56">
        <v>8</v>
      </c>
      <c r="M56">
        <v>50</v>
      </c>
      <c r="N56" t="b">
        <v>0</v>
      </c>
      <c r="O56" t="b">
        <v>0</v>
      </c>
      <c r="P56" t="b">
        <v>1</v>
      </c>
      <c r="Q56" s="4">
        <f>(K56-H56)/K56</f>
        <v>5.6603773584905662E-2</v>
      </c>
    </row>
    <row r="57" spans="1:17" x14ac:dyDescent="0.45">
      <c r="A57" t="s">
        <v>131</v>
      </c>
      <c r="B57" s="2">
        <v>3005021</v>
      </c>
      <c r="D57" t="s">
        <v>94</v>
      </c>
      <c r="F57" t="s">
        <v>42</v>
      </c>
      <c r="G57" t="s">
        <v>65</v>
      </c>
      <c r="H57" s="1">
        <v>119.8284</v>
      </c>
      <c r="I57" s="6">
        <v>259.2593</v>
      </c>
      <c r="J57" s="6">
        <v>250</v>
      </c>
      <c r="K57" s="6">
        <v>127.01810399999999</v>
      </c>
      <c r="L57">
        <v>8</v>
      </c>
      <c r="M57">
        <v>50</v>
      </c>
      <c r="N57" t="b">
        <v>0</v>
      </c>
      <c r="O57" t="b">
        <v>0</v>
      </c>
      <c r="P57" t="b">
        <v>1</v>
      </c>
      <c r="Q57" s="4">
        <f>(K57-H57)/K57</f>
        <v>5.6603773584905599E-2</v>
      </c>
    </row>
    <row r="58" spans="1:17" x14ac:dyDescent="0.45">
      <c r="A58" t="s">
        <v>132</v>
      </c>
      <c r="B58" s="2">
        <v>3003321</v>
      </c>
      <c r="D58" t="s">
        <v>94</v>
      </c>
      <c r="F58" t="s">
        <v>42</v>
      </c>
      <c r="G58" t="s">
        <v>133</v>
      </c>
      <c r="H58" s="1">
        <v>84.092460000000003</v>
      </c>
      <c r="I58" s="6">
        <v>166.66669999999999</v>
      </c>
      <c r="J58" s="6">
        <v>160.19</v>
      </c>
      <c r="K58" s="6">
        <v>89.138007599999995</v>
      </c>
      <c r="L58">
        <v>8</v>
      </c>
      <c r="M58">
        <v>90</v>
      </c>
      <c r="N58" t="b">
        <v>0</v>
      </c>
      <c r="O58" t="b">
        <v>0</v>
      </c>
      <c r="P58" t="b">
        <v>1</v>
      </c>
      <c r="Q58" s="4">
        <f>(K58-H58)/K58</f>
        <v>5.6603773584905571E-2</v>
      </c>
    </row>
    <row r="59" spans="1:17" x14ac:dyDescent="0.45">
      <c r="A59" t="s">
        <v>134</v>
      </c>
      <c r="B59" s="2">
        <v>1101085</v>
      </c>
      <c r="D59" t="s">
        <v>94</v>
      </c>
      <c r="F59" t="s">
        <v>42</v>
      </c>
      <c r="G59" t="s">
        <v>65</v>
      </c>
      <c r="H59" s="1">
        <v>236.08</v>
      </c>
      <c r="I59" s="6">
        <v>486</v>
      </c>
      <c r="J59" s="6">
        <v>486</v>
      </c>
      <c r="K59" s="6">
        <v>250.2448</v>
      </c>
      <c r="L59">
        <v>8</v>
      </c>
      <c r="M59">
        <v>0</v>
      </c>
      <c r="N59" t="b">
        <v>0</v>
      </c>
      <c r="O59" t="b">
        <v>0</v>
      </c>
      <c r="P59" t="b">
        <v>1</v>
      </c>
      <c r="Q59" s="4">
        <f>(K59-H59)/K59</f>
        <v>5.6603773584905599E-2</v>
      </c>
    </row>
    <row r="60" spans="1:17" x14ac:dyDescent="0.45">
      <c r="A60" t="s">
        <v>135</v>
      </c>
      <c r="B60" s="2">
        <v>1006208</v>
      </c>
      <c r="D60" t="s">
        <v>94</v>
      </c>
      <c r="F60" t="s">
        <v>42</v>
      </c>
      <c r="G60" t="s">
        <v>65</v>
      </c>
      <c r="H60" s="1">
        <v>193.7</v>
      </c>
      <c r="I60" s="6">
        <v>388.88889999999998</v>
      </c>
      <c r="J60" s="6">
        <v>380</v>
      </c>
      <c r="K60" s="6">
        <v>205.322</v>
      </c>
      <c r="L60">
        <v>8</v>
      </c>
      <c r="M60">
        <v>50</v>
      </c>
      <c r="N60" t="b">
        <v>0</v>
      </c>
      <c r="O60" t="b">
        <v>0</v>
      </c>
      <c r="P60" t="b">
        <v>1</v>
      </c>
      <c r="Q60" s="4">
        <f>(K60-H60)/K60</f>
        <v>5.6603773584905731E-2</v>
      </c>
    </row>
    <row r="61" spans="1:17" x14ac:dyDescent="0.45">
      <c r="A61" t="s">
        <v>136</v>
      </c>
      <c r="B61" s="2">
        <v>1101091</v>
      </c>
      <c r="D61" t="s">
        <v>94</v>
      </c>
      <c r="F61" t="s">
        <v>42</v>
      </c>
      <c r="G61" t="s">
        <v>65</v>
      </c>
      <c r="H61" s="1">
        <v>327.30180000000001</v>
      </c>
      <c r="I61" s="6">
        <v>620.37040000000002</v>
      </c>
      <c r="J61" s="6">
        <v>620</v>
      </c>
      <c r="K61" s="6">
        <v>346.939908</v>
      </c>
      <c r="L61">
        <v>8</v>
      </c>
      <c r="M61">
        <v>50</v>
      </c>
      <c r="N61" t="b">
        <v>0</v>
      </c>
      <c r="O61" t="b">
        <v>0</v>
      </c>
      <c r="P61" t="b">
        <v>1</v>
      </c>
      <c r="Q61" s="4">
        <f>(K61-H61)/K61</f>
        <v>5.6603773584905627E-2</v>
      </c>
    </row>
    <row r="62" spans="1:17" x14ac:dyDescent="0.45">
      <c r="A62" t="s">
        <v>137</v>
      </c>
      <c r="B62" s="2">
        <v>3003046</v>
      </c>
      <c r="D62" t="s">
        <v>94</v>
      </c>
      <c r="F62" t="s">
        <v>42</v>
      </c>
      <c r="G62" t="s">
        <v>65</v>
      </c>
      <c r="H62" s="1">
        <v>210.81</v>
      </c>
      <c r="I62" s="6">
        <v>407.4074</v>
      </c>
      <c r="J62" s="6">
        <v>390</v>
      </c>
      <c r="K62" s="6">
        <v>223.45859999999999</v>
      </c>
      <c r="L62">
        <v>8</v>
      </c>
      <c r="M62">
        <v>50</v>
      </c>
      <c r="N62" t="b">
        <v>0</v>
      </c>
      <c r="O62" t="b">
        <v>0</v>
      </c>
      <c r="P62" t="b">
        <v>1</v>
      </c>
      <c r="Q62" s="4">
        <f>(K62-H62)/K62</f>
        <v>5.6603773584905606E-2</v>
      </c>
    </row>
    <row r="63" spans="1:17" x14ac:dyDescent="0.45">
      <c r="A63" t="s">
        <v>138</v>
      </c>
      <c r="B63" s="2">
        <v>3000889</v>
      </c>
      <c r="D63" t="s">
        <v>94</v>
      </c>
      <c r="F63" t="s">
        <v>42</v>
      </c>
      <c r="G63" t="s">
        <v>139</v>
      </c>
      <c r="H63" s="1">
        <v>137.75</v>
      </c>
      <c r="I63" s="6">
        <v>268.51850000000002</v>
      </c>
      <c r="J63" s="6">
        <v>260</v>
      </c>
      <c r="K63" s="6">
        <v>146.01499999999999</v>
      </c>
      <c r="L63">
        <v>8</v>
      </c>
      <c r="M63">
        <v>180</v>
      </c>
      <c r="N63" t="b">
        <v>0</v>
      </c>
      <c r="O63" t="b">
        <v>0</v>
      </c>
      <c r="P63" t="b">
        <v>1</v>
      </c>
      <c r="Q63" s="4">
        <f>(K63-H63)/K63</f>
        <v>5.6603773584905571E-2</v>
      </c>
    </row>
    <row r="64" spans="1:17" x14ac:dyDescent="0.45">
      <c r="A64" t="s">
        <v>140</v>
      </c>
      <c r="B64" s="2">
        <v>6000022</v>
      </c>
      <c r="D64" t="s">
        <v>34</v>
      </c>
      <c r="F64" t="s">
        <v>42</v>
      </c>
      <c r="G64" t="s">
        <v>65</v>
      </c>
      <c r="H64" s="1">
        <v>211.11111</v>
      </c>
      <c r="I64" s="6">
        <v>286.39</v>
      </c>
      <c r="J64" s="6">
        <v>286.39</v>
      </c>
      <c r="K64" s="6">
        <v>223.77777660000001</v>
      </c>
      <c r="L64">
        <v>8</v>
      </c>
      <c r="M64">
        <v>0</v>
      </c>
      <c r="N64" t="b">
        <v>0</v>
      </c>
      <c r="O64" t="b">
        <v>0</v>
      </c>
      <c r="P64" t="b">
        <v>1</v>
      </c>
    </row>
    <row r="65" spans="1:17" x14ac:dyDescent="0.45">
      <c r="A65" t="s">
        <v>141</v>
      </c>
      <c r="B65" s="2">
        <v>3000003</v>
      </c>
      <c r="D65" t="s">
        <v>94</v>
      </c>
      <c r="F65" t="s">
        <v>42</v>
      </c>
      <c r="G65" t="s">
        <v>65</v>
      </c>
      <c r="H65" s="1">
        <v>148.20696000000001</v>
      </c>
      <c r="I65" s="6">
        <v>296.29629999999997</v>
      </c>
      <c r="J65" s="6">
        <v>290</v>
      </c>
      <c r="K65" s="6">
        <v>157.0993776</v>
      </c>
      <c r="L65">
        <v>8</v>
      </c>
      <c r="M65">
        <v>50</v>
      </c>
      <c r="N65" t="b">
        <v>0</v>
      </c>
      <c r="O65" t="b">
        <v>0</v>
      </c>
      <c r="P65" t="b">
        <v>1</v>
      </c>
      <c r="Q65" s="4">
        <f>(K65-H65)/K65</f>
        <v>5.6603773584905578E-2</v>
      </c>
    </row>
    <row r="66" spans="1:17" x14ac:dyDescent="0.45">
      <c r="A66" t="s">
        <v>142</v>
      </c>
      <c r="B66" s="2">
        <v>1010357</v>
      </c>
      <c r="D66" t="s">
        <v>94</v>
      </c>
      <c r="F66" t="s">
        <v>42</v>
      </c>
      <c r="G66" t="s">
        <v>65</v>
      </c>
      <c r="H66" s="1">
        <v>102.87</v>
      </c>
      <c r="I66" s="6">
        <v>208.33330000000001</v>
      </c>
      <c r="J66" s="6">
        <v>200</v>
      </c>
      <c r="K66" s="6">
        <v>109.04219999999999</v>
      </c>
      <c r="L66">
        <v>8</v>
      </c>
      <c r="M66">
        <v>50</v>
      </c>
      <c r="N66" t="b">
        <v>0</v>
      </c>
      <c r="O66" t="b">
        <v>0</v>
      </c>
      <c r="P66" t="b">
        <v>1</v>
      </c>
      <c r="Q66" s="4">
        <f>(K66-H66)/K66</f>
        <v>5.6603773584905565E-2</v>
      </c>
    </row>
    <row r="67" spans="1:17" x14ac:dyDescent="0.45">
      <c r="A67" t="s">
        <v>143</v>
      </c>
      <c r="B67" s="2">
        <v>1074648</v>
      </c>
      <c r="D67" t="s">
        <v>94</v>
      </c>
      <c r="F67" t="s">
        <v>42</v>
      </c>
      <c r="G67" t="s">
        <v>144</v>
      </c>
      <c r="H67" s="1">
        <v>93.43</v>
      </c>
      <c r="I67" s="6">
        <v>185.18520000000001</v>
      </c>
      <c r="J67" s="6">
        <v>180</v>
      </c>
      <c r="K67" s="6">
        <v>99.035799999999995</v>
      </c>
      <c r="L67">
        <v>8</v>
      </c>
      <c r="M67">
        <v>140</v>
      </c>
      <c r="N67" t="b">
        <v>0</v>
      </c>
      <c r="O67" t="b">
        <v>0</v>
      </c>
      <c r="P67" t="b">
        <v>1</v>
      </c>
      <c r="Q67" s="4">
        <f>(K67-H67)/K67</f>
        <v>5.6603773584905544E-2</v>
      </c>
    </row>
    <row r="68" spans="1:17" x14ac:dyDescent="0.45">
      <c r="A68" t="s">
        <v>145</v>
      </c>
      <c r="B68" s="2">
        <v>6000023</v>
      </c>
      <c r="D68" t="s">
        <v>34</v>
      </c>
      <c r="F68" t="s">
        <v>42</v>
      </c>
      <c r="G68" t="s">
        <v>133</v>
      </c>
      <c r="H68" s="1">
        <v>78.28</v>
      </c>
      <c r="I68" s="6">
        <v>172.8</v>
      </c>
      <c r="J68" s="6">
        <v>172.8</v>
      </c>
      <c r="K68" s="6">
        <v>82.976799999999997</v>
      </c>
      <c r="L68">
        <v>8</v>
      </c>
      <c r="M68">
        <v>0</v>
      </c>
      <c r="N68" t="b">
        <v>0</v>
      </c>
      <c r="O68" t="b">
        <v>0</v>
      </c>
      <c r="P68" t="b">
        <v>1</v>
      </c>
    </row>
    <row r="69" spans="1:17" x14ac:dyDescent="0.45">
      <c r="A69" t="s">
        <v>146</v>
      </c>
      <c r="B69" s="2">
        <v>6000024</v>
      </c>
      <c r="D69" t="s">
        <v>34</v>
      </c>
      <c r="F69" t="s">
        <v>42</v>
      </c>
      <c r="G69" t="s">
        <v>65</v>
      </c>
      <c r="H69" s="1">
        <v>70</v>
      </c>
      <c r="I69" s="6">
        <v>120</v>
      </c>
      <c r="J69" s="6">
        <v>120</v>
      </c>
      <c r="K69" s="6">
        <v>74.2</v>
      </c>
      <c r="L69">
        <v>8</v>
      </c>
      <c r="M69">
        <v>0</v>
      </c>
      <c r="N69" t="b">
        <v>0</v>
      </c>
      <c r="O69" t="b">
        <v>0</v>
      </c>
      <c r="P69" t="b">
        <v>1</v>
      </c>
    </row>
    <row r="70" spans="1:17" x14ac:dyDescent="0.45">
      <c r="A70" t="s">
        <v>147</v>
      </c>
      <c r="B70" s="2">
        <v>6000025</v>
      </c>
      <c r="D70" t="s">
        <v>34</v>
      </c>
      <c r="F70" t="s">
        <v>42</v>
      </c>
      <c r="G70" t="s">
        <v>65</v>
      </c>
      <c r="H70" s="1">
        <v>75</v>
      </c>
      <c r="I70" s="6">
        <v>120</v>
      </c>
      <c r="J70" s="6">
        <v>120</v>
      </c>
      <c r="K70" s="6">
        <v>79.5</v>
      </c>
      <c r="L70">
        <v>8</v>
      </c>
      <c r="M70">
        <v>0</v>
      </c>
      <c r="N70" t="b">
        <v>0</v>
      </c>
      <c r="O70" t="b">
        <v>0</v>
      </c>
      <c r="P70" t="b">
        <v>1</v>
      </c>
    </row>
    <row r="71" spans="1:17" x14ac:dyDescent="0.45">
      <c r="A71" t="s">
        <v>148</v>
      </c>
      <c r="B71" s="2">
        <v>6000026</v>
      </c>
      <c r="D71" t="s">
        <v>34</v>
      </c>
      <c r="F71" t="s">
        <v>42</v>
      </c>
      <c r="G71" t="s">
        <v>65</v>
      </c>
      <c r="H71" s="1">
        <v>95</v>
      </c>
      <c r="I71" s="6">
        <v>91.8</v>
      </c>
      <c r="J71" s="6">
        <v>91.8</v>
      </c>
      <c r="K71" s="6">
        <v>100.7</v>
      </c>
      <c r="L71">
        <v>8</v>
      </c>
      <c r="M71">
        <v>0</v>
      </c>
      <c r="N71" t="b">
        <v>0</v>
      </c>
      <c r="O71" t="b">
        <v>0</v>
      </c>
      <c r="P71" t="b">
        <v>1</v>
      </c>
    </row>
    <row r="72" spans="1:17" x14ac:dyDescent="0.45">
      <c r="A72" t="s">
        <v>149</v>
      </c>
      <c r="B72" s="2">
        <v>6000164</v>
      </c>
      <c r="D72" t="s">
        <v>34</v>
      </c>
      <c r="F72" t="s">
        <v>38</v>
      </c>
      <c r="G72" t="s">
        <v>150</v>
      </c>
      <c r="H72" s="1">
        <v>18.52</v>
      </c>
      <c r="I72" s="6">
        <v>20.23</v>
      </c>
      <c r="J72" s="6">
        <v>20.23</v>
      </c>
      <c r="K72" s="6">
        <v>19.6312</v>
      </c>
      <c r="L72">
        <v>8</v>
      </c>
      <c r="M72">
        <v>0</v>
      </c>
      <c r="N72" t="b">
        <v>0</v>
      </c>
      <c r="O72" t="b">
        <v>0</v>
      </c>
      <c r="P72" t="b">
        <v>1</v>
      </c>
    </row>
    <row r="73" spans="1:17" x14ac:dyDescent="0.45">
      <c r="A73" t="s">
        <v>151</v>
      </c>
      <c r="B73" s="2">
        <v>6000183</v>
      </c>
      <c r="D73" t="s">
        <v>34</v>
      </c>
      <c r="F73" t="s">
        <v>38</v>
      </c>
      <c r="H73" s="1">
        <v>16.89667</v>
      </c>
      <c r="I73" s="6">
        <v>170</v>
      </c>
      <c r="J73" s="6">
        <v>170</v>
      </c>
      <c r="K73" s="6">
        <v>17.910470199999999</v>
      </c>
      <c r="L73">
        <v>8</v>
      </c>
      <c r="M73">
        <v>0</v>
      </c>
      <c r="N73" t="b">
        <v>0</v>
      </c>
      <c r="O73" t="b">
        <v>0</v>
      </c>
      <c r="P73" t="b">
        <v>1</v>
      </c>
    </row>
    <row r="74" spans="1:17" x14ac:dyDescent="0.45">
      <c r="A74" t="s">
        <v>152</v>
      </c>
      <c r="B74" s="2">
        <v>6000027</v>
      </c>
      <c r="D74" t="s">
        <v>34</v>
      </c>
      <c r="F74" t="s">
        <v>42</v>
      </c>
      <c r="G74" t="s">
        <v>65</v>
      </c>
      <c r="H74" s="1">
        <v>65</v>
      </c>
      <c r="I74" s="6">
        <v>91.8</v>
      </c>
      <c r="J74" s="6">
        <v>91.8</v>
      </c>
      <c r="K74" s="6">
        <v>68.900000000000006</v>
      </c>
      <c r="L74">
        <v>8</v>
      </c>
      <c r="M74">
        <v>0</v>
      </c>
      <c r="N74" t="b">
        <v>0</v>
      </c>
      <c r="O74" t="b">
        <v>0</v>
      </c>
      <c r="P74" t="b">
        <v>1</v>
      </c>
    </row>
    <row r="75" spans="1:17" x14ac:dyDescent="0.45">
      <c r="A75" t="s">
        <v>153</v>
      </c>
      <c r="B75" s="2">
        <v>6000180</v>
      </c>
      <c r="D75" t="s">
        <v>34</v>
      </c>
      <c r="F75" t="s">
        <v>35</v>
      </c>
      <c r="G75" t="s">
        <v>154</v>
      </c>
      <c r="H75" s="1">
        <v>11.188330000000001</v>
      </c>
      <c r="I75" s="6">
        <v>13.75</v>
      </c>
      <c r="J75" s="6">
        <v>13.75</v>
      </c>
      <c r="K75" s="6">
        <v>11.8596298</v>
      </c>
      <c r="L75">
        <v>8</v>
      </c>
      <c r="M75">
        <v>0</v>
      </c>
      <c r="N75" t="b">
        <v>0</v>
      </c>
      <c r="O75" t="b">
        <v>0</v>
      </c>
      <c r="P75" t="b">
        <v>1</v>
      </c>
    </row>
    <row r="76" spans="1:17" x14ac:dyDescent="0.45">
      <c r="A76" t="s">
        <v>155</v>
      </c>
      <c r="B76" s="2">
        <v>212</v>
      </c>
      <c r="D76" t="s">
        <v>41</v>
      </c>
      <c r="F76" t="s">
        <v>42</v>
      </c>
      <c r="G76" t="s">
        <v>47</v>
      </c>
      <c r="H76" s="1">
        <v>94</v>
      </c>
      <c r="I76" s="6">
        <v>150</v>
      </c>
      <c r="J76" s="6">
        <v>150</v>
      </c>
      <c r="K76" s="6">
        <v>99.64</v>
      </c>
      <c r="L76">
        <v>8</v>
      </c>
      <c r="M76">
        <v>0</v>
      </c>
      <c r="N76" t="b">
        <v>0</v>
      </c>
      <c r="O76" t="b">
        <v>0</v>
      </c>
      <c r="P76" t="b">
        <v>1</v>
      </c>
    </row>
    <row r="77" spans="1:17" x14ac:dyDescent="0.45">
      <c r="A77" t="s">
        <v>156</v>
      </c>
      <c r="B77" s="2">
        <v>459</v>
      </c>
      <c r="D77" t="s">
        <v>41</v>
      </c>
      <c r="F77" t="s">
        <v>42</v>
      </c>
      <c r="G77" t="s">
        <v>43</v>
      </c>
      <c r="H77" s="1">
        <v>17.283999999999999</v>
      </c>
      <c r="I77" s="6">
        <v>27</v>
      </c>
      <c r="J77" s="6">
        <v>27</v>
      </c>
      <c r="K77" s="6">
        <v>18.32104</v>
      </c>
      <c r="L77">
        <v>8</v>
      </c>
      <c r="M77">
        <v>0</v>
      </c>
      <c r="N77" t="b">
        <v>0</v>
      </c>
      <c r="O77" t="b">
        <v>0</v>
      </c>
      <c r="P77" t="b">
        <v>1</v>
      </c>
    </row>
    <row r="78" spans="1:17" x14ac:dyDescent="0.45">
      <c r="A78" t="s">
        <v>157</v>
      </c>
      <c r="B78" s="2">
        <v>6000028</v>
      </c>
      <c r="D78" t="s">
        <v>34</v>
      </c>
      <c r="F78" t="s">
        <v>42</v>
      </c>
      <c r="G78" t="s">
        <v>65</v>
      </c>
      <c r="H78" s="1">
        <v>530</v>
      </c>
      <c r="I78" s="6">
        <v>1188</v>
      </c>
      <c r="J78" s="6">
        <v>1188</v>
      </c>
      <c r="K78" s="6">
        <v>561.79999999999995</v>
      </c>
      <c r="L78">
        <v>8</v>
      </c>
      <c r="M78">
        <v>0</v>
      </c>
      <c r="N78" t="b">
        <v>0</v>
      </c>
      <c r="O78" t="b">
        <v>0</v>
      </c>
      <c r="P78" t="b">
        <v>1</v>
      </c>
    </row>
    <row r="79" spans="1:17" x14ac:dyDescent="0.45">
      <c r="A79" t="s">
        <v>158</v>
      </c>
      <c r="B79" s="2">
        <v>6000029</v>
      </c>
      <c r="D79" t="s">
        <v>34</v>
      </c>
      <c r="F79" t="s">
        <v>159</v>
      </c>
      <c r="H79" s="1">
        <v>64.81</v>
      </c>
      <c r="I79" s="6">
        <v>421.2</v>
      </c>
      <c r="J79" s="6">
        <v>421.2</v>
      </c>
      <c r="K79" s="6">
        <v>68.698599999999999</v>
      </c>
      <c r="L79">
        <v>8</v>
      </c>
      <c r="M79">
        <v>0</v>
      </c>
      <c r="N79" t="b">
        <v>0</v>
      </c>
      <c r="O79" t="b">
        <v>0</v>
      </c>
      <c r="P79" t="b">
        <v>1</v>
      </c>
    </row>
    <row r="80" spans="1:17" x14ac:dyDescent="0.45">
      <c r="A80" t="s">
        <v>160</v>
      </c>
      <c r="B80" s="2">
        <v>6000030</v>
      </c>
      <c r="D80" t="s">
        <v>34</v>
      </c>
      <c r="F80" t="s">
        <v>42</v>
      </c>
      <c r="G80" t="s">
        <v>65</v>
      </c>
      <c r="H80" s="1">
        <v>35</v>
      </c>
      <c r="I80" s="6">
        <v>60</v>
      </c>
      <c r="J80" s="6">
        <v>60</v>
      </c>
      <c r="K80" s="6">
        <v>37.1</v>
      </c>
      <c r="L80">
        <v>8</v>
      </c>
      <c r="M80">
        <v>0</v>
      </c>
      <c r="N80" t="b">
        <v>0</v>
      </c>
      <c r="O80" t="b">
        <v>0</v>
      </c>
      <c r="P80" t="b">
        <v>1</v>
      </c>
    </row>
    <row r="81" spans="1:16" x14ac:dyDescent="0.45">
      <c r="A81" t="s">
        <v>161</v>
      </c>
      <c r="B81" s="2">
        <v>3000202</v>
      </c>
      <c r="D81" t="s">
        <v>41</v>
      </c>
      <c r="F81" t="s">
        <v>42</v>
      </c>
      <c r="G81" t="s">
        <v>60</v>
      </c>
      <c r="H81" s="1">
        <v>29.59085</v>
      </c>
      <c r="I81" s="6">
        <v>111.11111</v>
      </c>
      <c r="J81" s="6">
        <v>101.85</v>
      </c>
      <c r="K81" s="6">
        <v>31.366301</v>
      </c>
      <c r="L81">
        <v>8</v>
      </c>
      <c r="M81">
        <v>100</v>
      </c>
      <c r="N81" t="b">
        <v>0</v>
      </c>
      <c r="O81" t="b">
        <v>0</v>
      </c>
      <c r="P81" t="b">
        <v>1</v>
      </c>
    </row>
    <row r="82" spans="1:16" x14ac:dyDescent="0.45">
      <c r="A82" t="s">
        <v>162</v>
      </c>
      <c r="B82" s="2">
        <v>3003288</v>
      </c>
      <c r="D82" t="s">
        <v>41</v>
      </c>
      <c r="F82" t="s">
        <v>38</v>
      </c>
      <c r="G82" t="s">
        <v>86</v>
      </c>
      <c r="H82" s="1">
        <v>27.483000000000001</v>
      </c>
      <c r="I82" s="6">
        <v>130</v>
      </c>
      <c r="J82" s="6">
        <v>130</v>
      </c>
      <c r="K82" s="6">
        <v>29.131979999999999</v>
      </c>
      <c r="L82">
        <v>8</v>
      </c>
      <c r="M82">
        <v>50</v>
      </c>
      <c r="N82" t="b">
        <v>0</v>
      </c>
      <c r="O82" t="b">
        <v>0</v>
      </c>
      <c r="P82" t="b">
        <v>1</v>
      </c>
    </row>
    <row r="83" spans="1:16" x14ac:dyDescent="0.45">
      <c r="A83" t="s">
        <v>163</v>
      </c>
      <c r="B83" s="2">
        <v>1009753</v>
      </c>
      <c r="D83" t="s">
        <v>41</v>
      </c>
      <c r="F83" t="s">
        <v>38</v>
      </c>
      <c r="G83" t="s">
        <v>60</v>
      </c>
      <c r="H83" s="1">
        <v>42.74</v>
      </c>
      <c r="I83" s="6">
        <v>111.11111</v>
      </c>
      <c r="J83" s="6">
        <v>101.85</v>
      </c>
      <c r="K83" s="6">
        <v>45.304400000000001</v>
      </c>
      <c r="L83">
        <v>8</v>
      </c>
      <c r="M83">
        <v>100</v>
      </c>
      <c r="N83" t="b">
        <v>0</v>
      </c>
      <c r="O83" t="b">
        <v>0</v>
      </c>
      <c r="P83" t="b">
        <v>1</v>
      </c>
    </row>
    <row r="84" spans="1:16" x14ac:dyDescent="0.45">
      <c r="A84" t="s">
        <v>164</v>
      </c>
      <c r="B84" s="2">
        <v>6000031</v>
      </c>
      <c r="D84" t="s">
        <v>34</v>
      </c>
      <c r="F84" t="s">
        <v>42</v>
      </c>
      <c r="G84" t="s">
        <v>65</v>
      </c>
      <c r="H84" s="1">
        <v>212.22</v>
      </c>
      <c r="I84" s="6">
        <v>260</v>
      </c>
      <c r="J84" s="6">
        <v>260</v>
      </c>
      <c r="K84" s="6">
        <v>224.95320000000001</v>
      </c>
      <c r="L84">
        <v>8</v>
      </c>
      <c r="M84">
        <v>0</v>
      </c>
      <c r="N84" t="b">
        <v>0</v>
      </c>
      <c r="O84" t="b">
        <v>0</v>
      </c>
      <c r="P84" t="b">
        <v>1</v>
      </c>
    </row>
    <row r="85" spans="1:16" x14ac:dyDescent="0.45">
      <c r="A85" t="s">
        <v>165</v>
      </c>
      <c r="B85" s="2">
        <v>3000139</v>
      </c>
      <c r="C85" t="s">
        <v>1079</v>
      </c>
      <c r="D85" t="s">
        <v>67</v>
      </c>
      <c r="F85" t="s">
        <v>42</v>
      </c>
      <c r="G85" t="s">
        <v>60</v>
      </c>
      <c r="H85" s="1">
        <v>18.309529999999999</v>
      </c>
      <c r="I85" s="6">
        <v>60.185189999999999</v>
      </c>
      <c r="J85" s="6">
        <v>55.56</v>
      </c>
      <c r="K85" s="6">
        <v>19.408101800000001</v>
      </c>
      <c r="L85">
        <v>8</v>
      </c>
      <c r="M85">
        <v>100</v>
      </c>
      <c r="N85" t="b">
        <v>0</v>
      </c>
      <c r="O85" t="b">
        <v>0</v>
      </c>
      <c r="P85" t="b">
        <v>1</v>
      </c>
    </row>
    <row r="86" spans="1:16" x14ac:dyDescent="0.45">
      <c r="A86" t="s">
        <v>166</v>
      </c>
      <c r="B86" s="2">
        <v>6000032</v>
      </c>
      <c r="D86" t="s">
        <v>34</v>
      </c>
      <c r="F86" t="s">
        <v>42</v>
      </c>
      <c r="G86" t="s">
        <v>68</v>
      </c>
      <c r="H86" s="1">
        <v>40.652169999999998</v>
      </c>
      <c r="I86" s="6">
        <v>62</v>
      </c>
      <c r="J86" s="6">
        <v>62</v>
      </c>
      <c r="K86" s="6">
        <v>43.091300199999999</v>
      </c>
      <c r="L86">
        <v>8</v>
      </c>
      <c r="M86">
        <v>0</v>
      </c>
      <c r="N86" t="b">
        <v>0</v>
      </c>
      <c r="O86" t="b">
        <v>0</v>
      </c>
      <c r="P86" t="b">
        <v>1</v>
      </c>
    </row>
    <row r="87" spans="1:16" x14ac:dyDescent="0.45">
      <c r="A87" t="s">
        <v>167</v>
      </c>
      <c r="B87" s="2">
        <v>3003415</v>
      </c>
      <c r="D87" t="s">
        <v>67</v>
      </c>
      <c r="F87" t="s">
        <v>42</v>
      </c>
      <c r="G87" t="s">
        <v>47</v>
      </c>
      <c r="H87" s="1">
        <v>45.55</v>
      </c>
      <c r="I87" s="6">
        <v>75.599999999999994</v>
      </c>
      <c r="J87" s="6">
        <v>75.599999999999994</v>
      </c>
      <c r="K87" s="6">
        <v>48.283000000000001</v>
      </c>
      <c r="L87">
        <v>8</v>
      </c>
      <c r="M87">
        <v>0</v>
      </c>
      <c r="N87" t="b">
        <v>0</v>
      </c>
      <c r="O87" t="b">
        <v>0</v>
      </c>
      <c r="P87" t="b">
        <v>1</v>
      </c>
    </row>
    <row r="88" spans="1:16" x14ac:dyDescent="0.45">
      <c r="A88" t="s">
        <v>168</v>
      </c>
      <c r="B88" s="2">
        <v>3003298</v>
      </c>
      <c r="D88" t="s">
        <v>67</v>
      </c>
      <c r="F88" t="s">
        <v>42</v>
      </c>
      <c r="G88" t="s">
        <v>47</v>
      </c>
      <c r="H88" s="1">
        <v>35.08</v>
      </c>
      <c r="I88" s="6">
        <v>64.8</v>
      </c>
      <c r="J88" s="6">
        <v>64.8</v>
      </c>
      <c r="K88" s="6">
        <v>37.184800000000003</v>
      </c>
      <c r="L88">
        <v>8</v>
      </c>
      <c r="M88">
        <v>0</v>
      </c>
      <c r="N88" t="b">
        <v>0</v>
      </c>
      <c r="O88" t="b">
        <v>0</v>
      </c>
      <c r="P88" t="b">
        <v>1</v>
      </c>
    </row>
    <row r="89" spans="1:16" x14ac:dyDescent="0.45">
      <c r="A89" t="s">
        <v>169</v>
      </c>
      <c r="B89" s="2">
        <v>1088357</v>
      </c>
      <c r="D89" t="s">
        <v>170</v>
      </c>
      <c r="F89" t="s">
        <v>171</v>
      </c>
      <c r="G89" t="s">
        <v>172</v>
      </c>
      <c r="H89" s="1">
        <v>179.91</v>
      </c>
      <c r="I89" s="6">
        <v>230</v>
      </c>
      <c r="J89" s="6">
        <v>230</v>
      </c>
      <c r="K89" s="6">
        <v>190.7046</v>
      </c>
      <c r="L89">
        <v>8</v>
      </c>
      <c r="M89">
        <v>0</v>
      </c>
      <c r="N89" t="b">
        <v>0</v>
      </c>
      <c r="O89" t="b">
        <v>0</v>
      </c>
      <c r="P89" t="b">
        <v>1</v>
      </c>
    </row>
    <row r="90" spans="1:16" x14ac:dyDescent="0.45">
      <c r="A90" t="s">
        <v>173</v>
      </c>
      <c r="B90" s="2">
        <v>231</v>
      </c>
      <c r="D90" t="s">
        <v>170</v>
      </c>
      <c r="F90" t="s">
        <v>51</v>
      </c>
      <c r="G90" t="s">
        <v>174</v>
      </c>
      <c r="H90" s="1">
        <v>30.132000000000001</v>
      </c>
      <c r="I90" s="6">
        <v>108</v>
      </c>
      <c r="J90" s="6">
        <v>108</v>
      </c>
      <c r="K90" s="6">
        <v>31.939920000000001</v>
      </c>
      <c r="L90">
        <v>8</v>
      </c>
      <c r="M90">
        <v>0</v>
      </c>
      <c r="N90" t="b">
        <v>0</v>
      </c>
      <c r="O90" t="b">
        <v>0</v>
      </c>
      <c r="P90" t="b">
        <v>1</v>
      </c>
    </row>
    <row r="91" spans="1:16" x14ac:dyDescent="0.45">
      <c r="A91" t="s">
        <v>175</v>
      </c>
      <c r="B91" s="2">
        <v>63</v>
      </c>
      <c r="D91" t="s">
        <v>170</v>
      </c>
      <c r="F91" t="s">
        <v>42</v>
      </c>
      <c r="G91" t="s">
        <v>176</v>
      </c>
      <c r="H91" s="1">
        <v>144.47</v>
      </c>
      <c r="I91" s="6">
        <v>189</v>
      </c>
      <c r="J91" s="6">
        <v>189</v>
      </c>
      <c r="K91" s="6">
        <v>153.13820000000001</v>
      </c>
      <c r="L91">
        <v>8</v>
      </c>
      <c r="M91">
        <v>0</v>
      </c>
      <c r="N91" t="b">
        <v>0</v>
      </c>
      <c r="O91" t="b">
        <v>0</v>
      </c>
      <c r="P91" t="b">
        <v>1</v>
      </c>
    </row>
    <row r="92" spans="1:16" x14ac:dyDescent="0.45">
      <c r="A92" t="s">
        <v>177</v>
      </c>
      <c r="B92" s="2">
        <v>6000033</v>
      </c>
      <c r="D92" t="s">
        <v>34</v>
      </c>
      <c r="F92" t="s">
        <v>42</v>
      </c>
      <c r="G92" t="s">
        <v>176</v>
      </c>
      <c r="H92" s="1">
        <v>207.40741</v>
      </c>
      <c r="I92" s="6">
        <v>280</v>
      </c>
      <c r="J92" s="6">
        <v>280</v>
      </c>
      <c r="K92" s="6">
        <v>219.8518546</v>
      </c>
      <c r="L92">
        <v>8</v>
      </c>
      <c r="M92">
        <v>0</v>
      </c>
      <c r="N92" t="b">
        <v>0</v>
      </c>
      <c r="O92" t="b">
        <v>0</v>
      </c>
      <c r="P92" t="b">
        <v>1</v>
      </c>
    </row>
    <row r="93" spans="1:16" x14ac:dyDescent="0.45">
      <c r="A93" t="s">
        <v>178</v>
      </c>
      <c r="B93" s="2">
        <v>3000279</v>
      </c>
      <c r="D93" t="s">
        <v>170</v>
      </c>
      <c r="F93" t="s">
        <v>42</v>
      </c>
      <c r="G93" t="s">
        <v>179</v>
      </c>
      <c r="H93" s="1">
        <v>155.04</v>
      </c>
      <c r="I93" s="6">
        <v>300</v>
      </c>
      <c r="J93" s="6">
        <v>300</v>
      </c>
      <c r="K93" s="6">
        <v>164.3424</v>
      </c>
      <c r="L93">
        <v>8</v>
      </c>
      <c r="M93">
        <v>50</v>
      </c>
      <c r="N93" t="b">
        <v>0</v>
      </c>
      <c r="O93" t="b">
        <v>0</v>
      </c>
      <c r="P93" t="b">
        <v>1</v>
      </c>
    </row>
    <row r="94" spans="1:16" x14ac:dyDescent="0.45">
      <c r="A94" t="s">
        <v>180</v>
      </c>
      <c r="B94" s="2">
        <v>6000034</v>
      </c>
      <c r="D94" t="s">
        <v>34</v>
      </c>
      <c r="F94" t="s">
        <v>42</v>
      </c>
      <c r="G94" t="s">
        <v>65</v>
      </c>
      <c r="H94" s="1">
        <v>66.040000000000006</v>
      </c>
      <c r="I94" s="6">
        <v>100</v>
      </c>
      <c r="J94" s="6">
        <v>100</v>
      </c>
      <c r="K94" s="6">
        <v>70.002399999999994</v>
      </c>
      <c r="L94">
        <v>8</v>
      </c>
      <c r="M94">
        <v>0</v>
      </c>
      <c r="N94" t="b">
        <v>0</v>
      </c>
      <c r="O94" t="b">
        <v>0</v>
      </c>
      <c r="P94" t="b">
        <v>1</v>
      </c>
    </row>
    <row r="95" spans="1:16" x14ac:dyDescent="0.45">
      <c r="A95" t="s">
        <v>181</v>
      </c>
      <c r="B95" s="2">
        <v>6000035</v>
      </c>
      <c r="D95" t="s">
        <v>34</v>
      </c>
      <c r="F95" t="s">
        <v>42</v>
      </c>
      <c r="G95" t="s">
        <v>65</v>
      </c>
      <c r="H95" s="1">
        <v>35</v>
      </c>
      <c r="I95" s="6">
        <v>100</v>
      </c>
      <c r="J95" s="6">
        <v>100</v>
      </c>
      <c r="K95" s="6">
        <v>37.1</v>
      </c>
      <c r="L95">
        <v>8</v>
      </c>
      <c r="M95">
        <v>0</v>
      </c>
      <c r="N95" t="b">
        <v>0</v>
      </c>
      <c r="O95" t="b">
        <v>0</v>
      </c>
      <c r="P95" t="b">
        <v>1</v>
      </c>
    </row>
    <row r="96" spans="1:16" x14ac:dyDescent="0.45">
      <c r="A96" t="s">
        <v>182</v>
      </c>
      <c r="B96" s="2">
        <v>720</v>
      </c>
      <c r="D96" t="s">
        <v>183</v>
      </c>
      <c r="F96" t="s">
        <v>51</v>
      </c>
      <c r="G96" t="s">
        <v>184</v>
      </c>
      <c r="H96" s="1">
        <v>2.5861100000000001</v>
      </c>
      <c r="I96" s="6">
        <v>4.8600000000000003</v>
      </c>
      <c r="J96" s="6">
        <v>4.8600000000000003</v>
      </c>
      <c r="K96" s="6">
        <v>2.7412766</v>
      </c>
      <c r="L96">
        <v>8</v>
      </c>
      <c r="M96">
        <v>0</v>
      </c>
      <c r="N96" t="b">
        <v>0</v>
      </c>
      <c r="O96" t="b">
        <v>0</v>
      </c>
      <c r="P96" t="b">
        <v>1</v>
      </c>
    </row>
    <row r="97" spans="1:16" x14ac:dyDescent="0.45">
      <c r="A97" t="s">
        <v>185</v>
      </c>
      <c r="B97" s="2">
        <v>6000211</v>
      </c>
      <c r="D97" t="s">
        <v>34</v>
      </c>
      <c r="F97" t="s">
        <v>38</v>
      </c>
      <c r="G97" t="s">
        <v>186</v>
      </c>
      <c r="H97" s="1">
        <v>42.95</v>
      </c>
      <c r="I97" s="6">
        <v>90</v>
      </c>
      <c r="J97" s="6">
        <v>90</v>
      </c>
      <c r="K97" s="6">
        <v>45.527000000000001</v>
      </c>
      <c r="L97">
        <v>8</v>
      </c>
      <c r="M97">
        <v>0</v>
      </c>
      <c r="N97" t="b">
        <v>0</v>
      </c>
      <c r="O97" t="b">
        <v>0</v>
      </c>
      <c r="P97" t="b">
        <v>1</v>
      </c>
    </row>
    <row r="98" spans="1:16" x14ac:dyDescent="0.45">
      <c r="A98" t="s">
        <v>187</v>
      </c>
      <c r="B98" s="2">
        <v>6000210</v>
      </c>
      <c r="D98" t="s">
        <v>34</v>
      </c>
      <c r="F98" t="s">
        <v>38</v>
      </c>
      <c r="G98" t="s">
        <v>186</v>
      </c>
      <c r="H98" s="1">
        <v>41.73</v>
      </c>
      <c r="I98" s="6">
        <v>90</v>
      </c>
      <c r="J98" s="6">
        <v>90</v>
      </c>
      <c r="K98" s="6">
        <v>44.233800000000002</v>
      </c>
      <c r="L98">
        <v>8</v>
      </c>
      <c r="M98">
        <v>0</v>
      </c>
      <c r="N98" t="b">
        <v>0</v>
      </c>
      <c r="O98" t="b">
        <v>0</v>
      </c>
      <c r="P98" t="b">
        <v>1</v>
      </c>
    </row>
    <row r="99" spans="1:16" x14ac:dyDescent="0.45">
      <c r="A99" t="s">
        <v>188</v>
      </c>
      <c r="B99" s="2">
        <v>6000036</v>
      </c>
      <c r="D99" t="s">
        <v>34</v>
      </c>
      <c r="F99" t="s">
        <v>42</v>
      </c>
      <c r="G99" t="s">
        <v>65</v>
      </c>
      <c r="H99" s="1">
        <v>77.09</v>
      </c>
      <c r="I99" s="6">
        <v>108</v>
      </c>
      <c r="J99" s="6">
        <v>108</v>
      </c>
      <c r="K99" s="6">
        <v>81.715400000000002</v>
      </c>
      <c r="L99">
        <v>8</v>
      </c>
      <c r="M99">
        <v>0</v>
      </c>
      <c r="N99" t="b">
        <v>0</v>
      </c>
      <c r="O99" t="b">
        <v>0</v>
      </c>
      <c r="P99" t="b">
        <v>1</v>
      </c>
    </row>
    <row r="100" spans="1:16" x14ac:dyDescent="0.45">
      <c r="A100" t="s">
        <v>189</v>
      </c>
      <c r="B100" s="2">
        <v>312</v>
      </c>
      <c r="D100" t="s">
        <v>41</v>
      </c>
      <c r="F100" t="s">
        <v>42</v>
      </c>
      <c r="G100" t="s">
        <v>47</v>
      </c>
      <c r="H100" s="1">
        <v>445</v>
      </c>
      <c r="I100" s="6">
        <v>550</v>
      </c>
      <c r="J100" s="6">
        <v>550</v>
      </c>
      <c r="K100" s="6">
        <v>471.7</v>
      </c>
      <c r="L100">
        <v>0</v>
      </c>
      <c r="M100">
        <v>0</v>
      </c>
      <c r="N100" t="b">
        <v>0</v>
      </c>
      <c r="O100" t="b">
        <v>0</v>
      </c>
      <c r="P100" t="b">
        <v>1</v>
      </c>
    </row>
    <row r="101" spans="1:16" x14ac:dyDescent="0.45">
      <c r="A101" t="s">
        <v>190</v>
      </c>
      <c r="B101" s="2">
        <v>6000037</v>
      </c>
      <c r="D101" t="s">
        <v>34</v>
      </c>
      <c r="F101" t="s">
        <v>42</v>
      </c>
      <c r="G101" t="s">
        <v>65</v>
      </c>
      <c r="H101" s="1">
        <v>43.566670000000002</v>
      </c>
      <c r="I101" s="6">
        <v>43.2</v>
      </c>
      <c r="J101" s="6">
        <v>43.2</v>
      </c>
      <c r="K101" s="6">
        <v>46.180670200000002</v>
      </c>
      <c r="L101">
        <v>8</v>
      </c>
      <c r="M101">
        <v>0</v>
      </c>
      <c r="N101" t="b">
        <v>0</v>
      </c>
      <c r="O101" t="b">
        <v>0</v>
      </c>
      <c r="P101" t="b">
        <v>1</v>
      </c>
    </row>
    <row r="102" spans="1:16" x14ac:dyDescent="0.45">
      <c r="A102" t="s">
        <v>191</v>
      </c>
      <c r="B102" s="2">
        <v>3000724</v>
      </c>
      <c r="D102" t="s">
        <v>41</v>
      </c>
      <c r="F102" t="s">
        <v>42</v>
      </c>
      <c r="G102" t="s">
        <v>47</v>
      </c>
      <c r="H102" s="1">
        <v>154.38</v>
      </c>
      <c r="I102" s="6">
        <v>250</v>
      </c>
      <c r="J102" s="6">
        <v>250</v>
      </c>
      <c r="K102" s="6">
        <v>163.64279999999999</v>
      </c>
      <c r="L102">
        <v>8</v>
      </c>
      <c r="M102">
        <v>0</v>
      </c>
      <c r="N102" t="b">
        <v>0</v>
      </c>
      <c r="O102" t="b">
        <v>0</v>
      </c>
      <c r="P102" t="b">
        <v>1</v>
      </c>
    </row>
    <row r="103" spans="1:16" x14ac:dyDescent="0.45">
      <c r="A103" t="s">
        <v>192</v>
      </c>
      <c r="B103" s="2">
        <v>1072984</v>
      </c>
      <c r="D103" t="s">
        <v>41</v>
      </c>
      <c r="F103" t="s">
        <v>42</v>
      </c>
      <c r="G103" t="s">
        <v>47</v>
      </c>
      <c r="H103" s="1">
        <v>84.71</v>
      </c>
      <c r="I103" s="6">
        <v>151.19999999999999</v>
      </c>
      <c r="J103" s="6">
        <v>151.19999999999999</v>
      </c>
      <c r="K103" s="6">
        <v>89.792599999999993</v>
      </c>
      <c r="L103">
        <v>8</v>
      </c>
      <c r="M103">
        <v>0</v>
      </c>
      <c r="N103" t="b">
        <v>0</v>
      </c>
      <c r="O103" t="b">
        <v>0</v>
      </c>
      <c r="P103" t="b">
        <v>1</v>
      </c>
    </row>
    <row r="104" spans="1:16" x14ac:dyDescent="0.45">
      <c r="A104" t="s">
        <v>193</v>
      </c>
      <c r="B104" s="2">
        <v>6000038</v>
      </c>
      <c r="D104" t="s">
        <v>34</v>
      </c>
      <c r="F104" t="s">
        <v>42</v>
      </c>
      <c r="G104" t="s">
        <v>65</v>
      </c>
      <c r="H104" s="1">
        <v>78.7</v>
      </c>
      <c r="I104" s="6">
        <v>54</v>
      </c>
      <c r="J104" s="6">
        <v>54</v>
      </c>
      <c r="K104" s="6">
        <v>83.421999999999997</v>
      </c>
      <c r="L104">
        <v>8</v>
      </c>
      <c r="M104">
        <v>0</v>
      </c>
      <c r="N104" t="b">
        <v>0</v>
      </c>
      <c r="O104" t="b">
        <v>0</v>
      </c>
      <c r="P104" t="b">
        <v>1</v>
      </c>
    </row>
    <row r="105" spans="1:16" x14ac:dyDescent="0.45">
      <c r="A105" t="s">
        <v>194</v>
      </c>
      <c r="B105" s="2">
        <v>3000004</v>
      </c>
      <c r="D105" t="s">
        <v>67</v>
      </c>
      <c r="F105" t="s">
        <v>42</v>
      </c>
      <c r="G105" t="s">
        <v>60</v>
      </c>
      <c r="H105" s="1">
        <v>16.46039</v>
      </c>
      <c r="I105" s="6">
        <v>60.185189999999999</v>
      </c>
      <c r="J105" s="6">
        <v>55.56</v>
      </c>
      <c r="K105" s="6">
        <v>17.448013400000001</v>
      </c>
      <c r="L105">
        <v>8</v>
      </c>
      <c r="M105">
        <v>100</v>
      </c>
      <c r="N105" t="b">
        <v>0</v>
      </c>
      <c r="O105" t="b">
        <v>0</v>
      </c>
      <c r="P105" t="b">
        <v>1</v>
      </c>
    </row>
    <row r="106" spans="1:16" x14ac:dyDescent="0.45">
      <c r="A106" t="s">
        <v>195</v>
      </c>
      <c r="B106" s="2">
        <v>6000039</v>
      </c>
      <c r="D106" t="s">
        <v>34</v>
      </c>
      <c r="F106" t="s">
        <v>42</v>
      </c>
      <c r="G106" t="s">
        <v>68</v>
      </c>
      <c r="H106" s="1">
        <v>43</v>
      </c>
      <c r="I106" s="6">
        <v>62</v>
      </c>
      <c r="J106" s="6">
        <v>62</v>
      </c>
      <c r="K106" s="6">
        <v>45.58</v>
      </c>
      <c r="L106">
        <v>8</v>
      </c>
      <c r="M106">
        <v>0</v>
      </c>
      <c r="N106" t="b">
        <v>0</v>
      </c>
      <c r="O106" t="b">
        <v>0</v>
      </c>
      <c r="P106" t="b">
        <v>1</v>
      </c>
    </row>
    <row r="107" spans="1:16" x14ac:dyDescent="0.45">
      <c r="A107" t="s">
        <v>196</v>
      </c>
      <c r="B107" s="2">
        <v>6000040</v>
      </c>
      <c r="D107" t="s">
        <v>34</v>
      </c>
      <c r="F107" t="s">
        <v>42</v>
      </c>
      <c r="G107" t="s">
        <v>65</v>
      </c>
      <c r="H107" s="1">
        <v>195</v>
      </c>
      <c r="I107" s="6">
        <v>140.4</v>
      </c>
      <c r="J107" s="6">
        <v>140.4</v>
      </c>
      <c r="K107" s="6">
        <v>206.7</v>
      </c>
      <c r="L107">
        <v>8</v>
      </c>
      <c r="M107">
        <v>0</v>
      </c>
      <c r="N107" t="b">
        <v>0</v>
      </c>
      <c r="O107" t="b">
        <v>0</v>
      </c>
      <c r="P107" t="b">
        <v>1</v>
      </c>
    </row>
    <row r="108" spans="1:16" x14ac:dyDescent="0.45">
      <c r="A108" t="s">
        <v>197</v>
      </c>
      <c r="B108" s="2">
        <v>3000089</v>
      </c>
      <c r="D108" t="s">
        <v>41</v>
      </c>
      <c r="F108" t="s">
        <v>42</v>
      </c>
      <c r="G108" t="s">
        <v>43</v>
      </c>
      <c r="H108" s="1">
        <v>16</v>
      </c>
      <c r="I108" s="6">
        <v>37.799999999999997</v>
      </c>
      <c r="J108" s="6">
        <v>37.799999999999997</v>
      </c>
      <c r="K108" s="6">
        <v>16.96</v>
      </c>
      <c r="L108">
        <v>8</v>
      </c>
      <c r="M108">
        <v>0</v>
      </c>
      <c r="N108" t="b">
        <v>0</v>
      </c>
      <c r="O108" t="b">
        <v>0</v>
      </c>
      <c r="P108" t="b">
        <v>1</v>
      </c>
    </row>
    <row r="109" spans="1:16" x14ac:dyDescent="0.45">
      <c r="A109" t="s">
        <v>198</v>
      </c>
      <c r="B109" s="2" t="s">
        <v>199</v>
      </c>
      <c r="D109" t="s">
        <v>50</v>
      </c>
      <c r="F109" t="s">
        <v>42</v>
      </c>
      <c r="G109" t="s">
        <v>200</v>
      </c>
      <c r="H109" s="1">
        <v>12.477959999999999</v>
      </c>
      <c r="I109" s="6">
        <v>27.77777</v>
      </c>
      <c r="J109" s="6">
        <v>23.61</v>
      </c>
      <c r="K109" s="6">
        <v>13.2266376</v>
      </c>
      <c r="L109">
        <v>8</v>
      </c>
      <c r="M109">
        <v>100</v>
      </c>
      <c r="N109" t="b">
        <v>0</v>
      </c>
      <c r="O109" t="b">
        <v>0</v>
      </c>
      <c r="P109" t="b">
        <v>1</v>
      </c>
    </row>
    <row r="110" spans="1:16" x14ac:dyDescent="0.45">
      <c r="A110" t="s">
        <v>201</v>
      </c>
      <c r="B110" s="2">
        <v>1016058</v>
      </c>
      <c r="D110" t="s">
        <v>170</v>
      </c>
      <c r="F110" t="s">
        <v>42</v>
      </c>
      <c r="G110" t="s">
        <v>65</v>
      </c>
      <c r="H110" s="1">
        <v>111.92999</v>
      </c>
      <c r="I110" s="6">
        <v>212.96299999999999</v>
      </c>
      <c r="J110" s="6">
        <v>210</v>
      </c>
      <c r="K110" s="6">
        <v>118.6457894</v>
      </c>
      <c r="L110">
        <v>8</v>
      </c>
      <c r="M110">
        <v>20</v>
      </c>
      <c r="N110" t="b">
        <v>0</v>
      </c>
      <c r="O110" t="b">
        <v>0</v>
      </c>
      <c r="P110" t="b">
        <v>1</v>
      </c>
    </row>
    <row r="111" spans="1:16" x14ac:dyDescent="0.45">
      <c r="A111" t="s">
        <v>202</v>
      </c>
      <c r="B111" s="2">
        <v>3000634</v>
      </c>
      <c r="D111" t="s">
        <v>170</v>
      </c>
      <c r="F111" t="s">
        <v>42</v>
      </c>
      <c r="G111" t="s">
        <v>203</v>
      </c>
      <c r="H111" s="1">
        <v>105.28</v>
      </c>
      <c r="I111" s="6">
        <v>200</v>
      </c>
      <c r="J111" s="6">
        <v>200</v>
      </c>
      <c r="K111" s="6">
        <v>111.5968</v>
      </c>
      <c r="L111">
        <v>8</v>
      </c>
      <c r="M111">
        <v>0</v>
      </c>
      <c r="N111" t="b">
        <v>0</v>
      </c>
      <c r="O111" t="b">
        <v>0</v>
      </c>
      <c r="P111" t="b">
        <v>1</v>
      </c>
    </row>
    <row r="112" spans="1:16" x14ac:dyDescent="0.45">
      <c r="A112" t="s">
        <v>204</v>
      </c>
      <c r="B112" s="2">
        <v>1022672</v>
      </c>
      <c r="D112" t="s">
        <v>170</v>
      </c>
      <c r="F112" t="s">
        <v>42</v>
      </c>
      <c r="G112" t="s">
        <v>65</v>
      </c>
      <c r="H112" s="1">
        <v>120.51</v>
      </c>
      <c r="I112" s="6">
        <v>226.8</v>
      </c>
      <c r="J112" s="6">
        <v>226.8</v>
      </c>
      <c r="K112" s="6">
        <v>127.7406</v>
      </c>
      <c r="L112">
        <v>8</v>
      </c>
      <c r="M112">
        <v>0</v>
      </c>
      <c r="N112" t="b">
        <v>0</v>
      </c>
      <c r="O112" t="b">
        <v>0</v>
      </c>
      <c r="P112" t="b">
        <v>1</v>
      </c>
    </row>
    <row r="113" spans="1:16" x14ac:dyDescent="0.45">
      <c r="A113" t="s">
        <v>205</v>
      </c>
      <c r="B113" s="2">
        <v>1016164</v>
      </c>
      <c r="D113" t="s">
        <v>170</v>
      </c>
      <c r="F113" t="s">
        <v>42</v>
      </c>
      <c r="G113" t="s">
        <v>65</v>
      </c>
      <c r="H113" s="1">
        <v>139.81</v>
      </c>
      <c r="I113" s="6">
        <v>216</v>
      </c>
      <c r="J113" s="6">
        <v>216</v>
      </c>
      <c r="K113" s="6">
        <v>148.1986</v>
      </c>
      <c r="L113">
        <v>8</v>
      </c>
      <c r="M113">
        <v>0</v>
      </c>
      <c r="N113" t="b">
        <v>0</v>
      </c>
      <c r="O113" t="b">
        <v>0</v>
      </c>
      <c r="P113" t="b">
        <v>1</v>
      </c>
    </row>
    <row r="114" spans="1:16" x14ac:dyDescent="0.45">
      <c r="A114" t="s">
        <v>206</v>
      </c>
      <c r="B114" s="2">
        <v>1016325</v>
      </c>
      <c r="D114" t="s">
        <v>170</v>
      </c>
      <c r="F114" t="s">
        <v>42</v>
      </c>
      <c r="G114" t="s">
        <v>65</v>
      </c>
      <c r="H114" s="1">
        <v>94.7</v>
      </c>
      <c r="I114" s="6">
        <v>226.8</v>
      </c>
      <c r="J114" s="6">
        <v>226.8</v>
      </c>
      <c r="K114" s="6">
        <v>100.38200000000001</v>
      </c>
      <c r="L114">
        <v>8</v>
      </c>
      <c r="M114">
        <v>0</v>
      </c>
      <c r="N114" t="b">
        <v>0</v>
      </c>
      <c r="O114" t="b">
        <v>0</v>
      </c>
      <c r="P114" t="b">
        <v>1</v>
      </c>
    </row>
    <row r="115" spans="1:16" x14ac:dyDescent="0.45">
      <c r="A115" t="s">
        <v>207</v>
      </c>
      <c r="B115" s="2">
        <v>3000007</v>
      </c>
      <c r="D115" t="s">
        <v>170</v>
      </c>
      <c r="F115" t="s">
        <v>42</v>
      </c>
      <c r="G115" t="s">
        <v>65</v>
      </c>
      <c r="H115" s="1">
        <v>262.75</v>
      </c>
      <c r="I115" s="6">
        <v>540</v>
      </c>
      <c r="J115" s="6">
        <v>540</v>
      </c>
      <c r="K115" s="6">
        <v>278.51499999999999</v>
      </c>
      <c r="L115">
        <v>8</v>
      </c>
      <c r="M115">
        <v>0</v>
      </c>
      <c r="N115" t="b">
        <v>0</v>
      </c>
      <c r="O115" t="b">
        <v>0</v>
      </c>
      <c r="P115" t="b">
        <v>1</v>
      </c>
    </row>
    <row r="116" spans="1:16" x14ac:dyDescent="0.45">
      <c r="A116" t="s">
        <v>208</v>
      </c>
      <c r="B116" s="2">
        <v>1073092</v>
      </c>
      <c r="D116" t="s">
        <v>170</v>
      </c>
      <c r="F116" t="s">
        <v>42</v>
      </c>
      <c r="G116" t="s">
        <v>209</v>
      </c>
      <c r="H116" s="1">
        <v>116.60054</v>
      </c>
      <c r="I116" s="6">
        <v>226.8</v>
      </c>
      <c r="J116" s="6">
        <v>226.8</v>
      </c>
      <c r="K116" s="6">
        <v>123.5965724</v>
      </c>
      <c r="L116">
        <v>8</v>
      </c>
      <c r="M116">
        <v>50</v>
      </c>
      <c r="N116" t="b">
        <v>0</v>
      </c>
      <c r="O116" t="b">
        <v>0</v>
      </c>
      <c r="P116" t="b">
        <v>1</v>
      </c>
    </row>
    <row r="117" spans="1:16" x14ac:dyDescent="0.45">
      <c r="A117" t="s">
        <v>210</v>
      </c>
      <c r="B117" s="2">
        <v>6000217</v>
      </c>
      <c r="D117" t="s">
        <v>34</v>
      </c>
      <c r="F117" t="s">
        <v>42</v>
      </c>
      <c r="G117" t="s">
        <v>65</v>
      </c>
      <c r="H117" s="1">
        <v>145</v>
      </c>
      <c r="I117" s="6">
        <v>237.6</v>
      </c>
      <c r="J117" s="6">
        <v>237.6</v>
      </c>
      <c r="K117" s="6">
        <v>153.69999999999999</v>
      </c>
      <c r="L117">
        <v>8</v>
      </c>
      <c r="M117">
        <v>0</v>
      </c>
      <c r="N117" t="b">
        <v>0</v>
      </c>
      <c r="O117" t="b">
        <v>0</v>
      </c>
      <c r="P117" t="b">
        <v>1</v>
      </c>
    </row>
    <row r="118" spans="1:16" x14ac:dyDescent="0.45">
      <c r="A118" t="s">
        <v>211</v>
      </c>
      <c r="B118" s="2">
        <v>1016611</v>
      </c>
      <c r="D118" t="s">
        <v>170</v>
      </c>
      <c r="F118" t="s">
        <v>42</v>
      </c>
      <c r="G118" t="s">
        <v>60</v>
      </c>
      <c r="H118" s="1">
        <v>205.24451999999999</v>
      </c>
      <c r="I118" s="6">
        <v>425.92590000000001</v>
      </c>
      <c r="J118" s="6">
        <v>416.67</v>
      </c>
      <c r="K118" s="6">
        <v>217.55919119999999</v>
      </c>
      <c r="L118">
        <v>8</v>
      </c>
      <c r="M118">
        <v>50</v>
      </c>
      <c r="N118" t="b">
        <v>0</v>
      </c>
      <c r="O118" t="b">
        <v>0</v>
      </c>
      <c r="P118" t="b">
        <v>1</v>
      </c>
    </row>
    <row r="119" spans="1:16" x14ac:dyDescent="0.45">
      <c r="A119" t="s">
        <v>212</v>
      </c>
      <c r="B119" s="2">
        <v>1016204</v>
      </c>
      <c r="C119" t="s">
        <v>33</v>
      </c>
      <c r="D119" t="s">
        <v>170</v>
      </c>
      <c r="E119" s="5" t="s">
        <v>213</v>
      </c>
      <c r="F119" t="s">
        <v>38</v>
      </c>
      <c r="G119" t="s">
        <v>214</v>
      </c>
      <c r="H119" s="1">
        <v>19.88</v>
      </c>
      <c r="I119" s="6">
        <v>32.407409999999999</v>
      </c>
      <c r="J119" s="6">
        <v>28.94</v>
      </c>
      <c r="K119" s="6">
        <v>25</v>
      </c>
      <c r="L119">
        <v>8</v>
      </c>
      <c r="M119">
        <v>120</v>
      </c>
      <c r="N119" t="b">
        <v>0</v>
      </c>
      <c r="O119" t="b">
        <v>0</v>
      </c>
      <c r="P119" t="b">
        <v>1</v>
      </c>
    </row>
    <row r="120" spans="1:16" x14ac:dyDescent="0.45">
      <c r="A120" t="s">
        <v>215</v>
      </c>
      <c r="B120" s="2">
        <v>3000123</v>
      </c>
      <c r="D120" t="s">
        <v>41</v>
      </c>
      <c r="F120" t="s">
        <v>42</v>
      </c>
      <c r="G120" t="s">
        <v>176</v>
      </c>
      <c r="H120" s="1">
        <v>28.841999999999999</v>
      </c>
      <c r="I120" s="6">
        <v>48.6</v>
      </c>
      <c r="J120" s="6">
        <v>48.6</v>
      </c>
      <c r="K120" s="6">
        <v>30.572520000000001</v>
      </c>
      <c r="L120">
        <v>8</v>
      </c>
      <c r="M120">
        <v>0</v>
      </c>
      <c r="N120" t="b">
        <v>0</v>
      </c>
      <c r="O120" t="b">
        <v>0</v>
      </c>
      <c r="P120" t="b">
        <v>1</v>
      </c>
    </row>
    <row r="121" spans="1:16" x14ac:dyDescent="0.45">
      <c r="A121" t="s">
        <v>216</v>
      </c>
      <c r="B121" s="2">
        <v>6000042</v>
      </c>
      <c r="D121" t="s">
        <v>34</v>
      </c>
      <c r="F121" t="s">
        <v>35</v>
      </c>
      <c r="G121" t="s">
        <v>217</v>
      </c>
      <c r="H121" s="1">
        <v>13.955819999999999</v>
      </c>
      <c r="I121" s="6">
        <v>18.75</v>
      </c>
      <c r="J121" s="6">
        <v>18.75</v>
      </c>
      <c r="K121" s="6">
        <v>14.793169199999999</v>
      </c>
      <c r="L121">
        <v>8</v>
      </c>
      <c r="M121">
        <v>0</v>
      </c>
      <c r="N121" t="b">
        <v>0</v>
      </c>
      <c r="O121" t="b">
        <v>0</v>
      </c>
      <c r="P121" t="b">
        <v>1</v>
      </c>
    </row>
    <row r="122" spans="1:16" x14ac:dyDescent="0.45">
      <c r="A122" t="s">
        <v>218</v>
      </c>
      <c r="B122" s="2">
        <v>1101142</v>
      </c>
      <c r="D122" t="s">
        <v>41</v>
      </c>
      <c r="E122" s="5" t="s">
        <v>1077</v>
      </c>
      <c r="F122" t="s">
        <v>35</v>
      </c>
      <c r="G122" t="s">
        <v>219</v>
      </c>
      <c r="H122" s="1">
        <v>41.825830000000003</v>
      </c>
      <c r="I122" s="6">
        <v>83.33</v>
      </c>
      <c r="J122" s="6">
        <v>77.16</v>
      </c>
      <c r="K122" s="6">
        <v>44.335379799999998</v>
      </c>
      <c r="L122">
        <v>8</v>
      </c>
      <c r="M122">
        <v>60</v>
      </c>
      <c r="N122" t="b">
        <v>0</v>
      </c>
      <c r="O122" t="b">
        <v>0</v>
      </c>
      <c r="P122" t="b">
        <v>1</v>
      </c>
    </row>
    <row r="123" spans="1:16" x14ac:dyDescent="0.45">
      <c r="A123" t="s">
        <v>220</v>
      </c>
      <c r="B123" s="2">
        <v>1101097</v>
      </c>
      <c r="D123" t="s">
        <v>183</v>
      </c>
      <c r="F123" t="s">
        <v>42</v>
      </c>
      <c r="G123" t="s">
        <v>95</v>
      </c>
      <c r="H123" s="1">
        <v>140.51011</v>
      </c>
      <c r="I123" s="6">
        <v>287.03699999999998</v>
      </c>
      <c r="J123" s="6">
        <v>277.77778000000001</v>
      </c>
      <c r="K123" s="6">
        <v>148.9407166</v>
      </c>
      <c r="L123">
        <v>8</v>
      </c>
      <c r="M123">
        <v>20</v>
      </c>
      <c r="N123" t="b">
        <v>0</v>
      </c>
      <c r="O123" t="b">
        <v>0</v>
      </c>
      <c r="P123" t="b">
        <v>1</v>
      </c>
    </row>
    <row r="124" spans="1:16" x14ac:dyDescent="0.45">
      <c r="A124" t="s">
        <v>221</v>
      </c>
      <c r="B124" s="2">
        <v>6000209</v>
      </c>
      <c r="D124" t="s">
        <v>34</v>
      </c>
      <c r="F124" t="s">
        <v>42</v>
      </c>
      <c r="G124" t="s">
        <v>222</v>
      </c>
      <c r="H124" s="1">
        <v>142</v>
      </c>
      <c r="I124" s="6">
        <v>320</v>
      </c>
      <c r="J124" s="6">
        <v>320</v>
      </c>
      <c r="K124" s="6">
        <v>150.52000000000001</v>
      </c>
      <c r="L124">
        <v>8</v>
      </c>
      <c r="M124">
        <v>0</v>
      </c>
      <c r="N124" t="b">
        <v>0</v>
      </c>
      <c r="O124" t="b">
        <v>0</v>
      </c>
      <c r="P124" t="b">
        <v>1</v>
      </c>
    </row>
    <row r="125" spans="1:16" x14ac:dyDescent="0.45">
      <c r="A125" t="s">
        <v>223</v>
      </c>
      <c r="B125" s="2">
        <v>3003476</v>
      </c>
      <c r="D125" t="s">
        <v>183</v>
      </c>
      <c r="F125" t="s">
        <v>42</v>
      </c>
      <c r="G125" t="s">
        <v>224</v>
      </c>
      <c r="H125" s="1">
        <v>41.64817</v>
      </c>
      <c r="I125" s="6">
        <v>74.074070000000006</v>
      </c>
      <c r="J125" s="6">
        <v>69.44</v>
      </c>
      <c r="K125" s="6">
        <v>44.147060199999999</v>
      </c>
      <c r="L125">
        <v>8</v>
      </c>
      <c r="M125">
        <v>600</v>
      </c>
      <c r="N125" t="b">
        <v>0</v>
      </c>
      <c r="O125" t="b">
        <v>0</v>
      </c>
      <c r="P125" t="b">
        <v>1</v>
      </c>
    </row>
    <row r="126" spans="1:16" x14ac:dyDescent="0.45">
      <c r="A126" t="s">
        <v>225</v>
      </c>
      <c r="B126" s="2">
        <v>1008589</v>
      </c>
      <c r="D126" t="s">
        <v>183</v>
      </c>
      <c r="F126" t="s">
        <v>42</v>
      </c>
      <c r="G126" t="s">
        <v>224</v>
      </c>
      <c r="H126" s="1">
        <v>28.849889999999998</v>
      </c>
      <c r="I126" s="6">
        <v>55.555549999999997</v>
      </c>
      <c r="J126" s="6">
        <v>50.15</v>
      </c>
      <c r="K126" s="6">
        <v>30.580883400000001</v>
      </c>
      <c r="L126">
        <v>8</v>
      </c>
      <c r="M126">
        <v>600</v>
      </c>
      <c r="N126" t="b">
        <v>0</v>
      </c>
      <c r="O126" t="b">
        <v>0</v>
      </c>
      <c r="P126" t="b">
        <v>1</v>
      </c>
    </row>
    <row r="127" spans="1:16" x14ac:dyDescent="0.45">
      <c r="A127" t="s">
        <v>226</v>
      </c>
      <c r="B127" s="2">
        <v>1010172</v>
      </c>
      <c r="D127" t="s">
        <v>183</v>
      </c>
      <c r="F127" t="s">
        <v>42</v>
      </c>
      <c r="G127" t="s">
        <v>118</v>
      </c>
      <c r="H127" s="1">
        <v>186.68666999999999</v>
      </c>
      <c r="I127" s="6">
        <v>333.33332999999999</v>
      </c>
      <c r="J127" s="6">
        <v>324.07</v>
      </c>
      <c r="K127" s="6">
        <v>197.88787020000001</v>
      </c>
      <c r="L127">
        <v>8</v>
      </c>
      <c r="M127">
        <v>20</v>
      </c>
      <c r="N127" t="b">
        <v>0</v>
      </c>
      <c r="O127" t="b">
        <v>0</v>
      </c>
      <c r="P127" t="b">
        <v>1</v>
      </c>
    </row>
    <row r="128" spans="1:16" x14ac:dyDescent="0.45">
      <c r="A128" t="s">
        <v>227</v>
      </c>
      <c r="B128" s="2">
        <v>1010287</v>
      </c>
      <c r="D128" t="s">
        <v>183</v>
      </c>
      <c r="F128" t="s">
        <v>42</v>
      </c>
      <c r="G128" t="s">
        <v>228</v>
      </c>
      <c r="H128" s="1">
        <v>115.26</v>
      </c>
      <c r="I128" s="6">
        <v>199.8</v>
      </c>
      <c r="J128" s="6">
        <v>199.8</v>
      </c>
      <c r="K128" s="6">
        <v>122.1756</v>
      </c>
      <c r="L128">
        <v>8</v>
      </c>
      <c r="M128">
        <v>0</v>
      </c>
      <c r="N128" t="b">
        <v>0</v>
      </c>
      <c r="O128" t="b">
        <v>0</v>
      </c>
      <c r="P128" t="b">
        <v>1</v>
      </c>
    </row>
    <row r="129" spans="1:16" x14ac:dyDescent="0.45">
      <c r="A129" t="s">
        <v>229</v>
      </c>
      <c r="B129" s="2">
        <v>486</v>
      </c>
      <c r="D129" t="s">
        <v>183</v>
      </c>
      <c r="F129" t="s">
        <v>42</v>
      </c>
      <c r="G129" t="s">
        <v>230</v>
      </c>
      <c r="H129" s="1">
        <v>42.727269999999997</v>
      </c>
      <c r="I129" s="6">
        <v>519.63</v>
      </c>
      <c r="J129" s="6">
        <v>519.63</v>
      </c>
      <c r="K129" s="6">
        <v>45.290906200000002</v>
      </c>
      <c r="L129">
        <v>8</v>
      </c>
      <c r="M129">
        <v>0</v>
      </c>
      <c r="N129" t="b">
        <v>0</v>
      </c>
      <c r="O129" t="b">
        <v>0</v>
      </c>
      <c r="P129" t="b">
        <v>1</v>
      </c>
    </row>
    <row r="130" spans="1:16" x14ac:dyDescent="0.45">
      <c r="A130" t="s">
        <v>231</v>
      </c>
      <c r="B130" s="2">
        <v>1007920</v>
      </c>
      <c r="D130" t="s">
        <v>183</v>
      </c>
      <c r="F130" t="s">
        <v>42</v>
      </c>
      <c r="G130" t="s">
        <v>232</v>
      </c>
      <c r="H130" s="1">
        <v>30.0398</v>
      </c>
      <c r="I130" s="6">
        <v>92.59</v>
      </c>
      <c r="J130" s="6">
        <v>92.59</v>
      </c>
      <c r="K130" s="6">
        <v>31.842188</v>
      </c>
      <c r="L130">
        <v>8</v>
      </c>
      <c r="M130">
        <v>150</v>
      </c>
      <c r="N130" t="b">
        <v>0</v>
      </c>
      <c r="O130" t="b">
        <v>0</v>
      </c>
      <c r="P130" t="b">
        <v>1</v>
      </c>
    </row>
    <row r="131" spans="1:16" x14ac:dyDescent="0.45">
      <c r="A131" t="s">
        <v>233</v>
      </c>
      <c r="B131" s="2">
        <v>6000043</v>
      </c>
      <c r="D131" t="s">
        <v>34</v>
      </c>
      <c r="F131" t="s">
        <v>42</v>
      </c>
      <c r="G131" t="s">
        <v>232</v>
      </c>
      <c r="H131" s="1">
        <v>46.323390000000003</v>
      </c>
      <c r="I131" s="6">
        <v>92.59</v>
      </c>
      <c r="J131" s="6">
        <v>92.59</v>
      </c>
      <c r="K131" s="6">
        <v>49.102793400000003</v>
      </c>
      <c r="L131">
        <v>8</v>
      </c>
      <c r="M131">
        <v>0</v>
      </c>
      <c r="N131" t="b">
        <v>0</v>
      </c>
      <c r="O131" t="b">
        <v>0</v>
      </c>
      <c r="P131" t="b">
        <v>1</v>
      </c>
    </row>
    <row r="132" spans="1:16" x14ac:dyDescent="0.45">
      <c r="A132" t="s">
        <v>234</v>
      </c>
      <c r="B132" s="2">
        <v>385</v>
      </c>
      <c r="D132" t="s">
        <v>183</v>
      </c>
      <c r="F132" t="s">
        <v>42</v>
      </c>
      <c r="G132" t="s">
        <v>47</v>
      </c>
      <c r="H132" s="1">
        <v>60.24</v>
      </c>
      <c r="I132" s="6">
        <v>80</v>
      </c>
      <c r="J132" s="6">
        <v>80</v>
      </c>
      <c r="K132" s="6">
        <v>63.854399999999998</v>
      </c>
      <c r="L132">
        <v>8</v>
      </c>
      <c r="M132">
        <v>0</v>
      </c>
      <c r="N132" t="b">
        <v>0</v>
      </c>
      <c r="O132" t="b">
        <v>0</v>
      </c>
      <c r="P132" t="b">
        <v>1</v>
      </c>
    </row>
    <row r="133" spans="1:16" x14ac:dyDescent="0.45">
      <c r="A133" t="s">
        <v>235</v>
      </c>
      <c r="B133" s="2">
        <v>1008073</v>
      </c>
      <c r="D133" t="s">
        <v>183</v>
      </c>
      <c r="F133" t="s">
        <v>42</v>
      </c>
      <c r="G133" t="s">
        <v>236</v>
      </c>
      <c r="H133" s="1">
        <v>60</v>
      </c>
      <c r="I133" s="6">
        <v>102.8806</v>
      </c>
      <c r="J133" s="6">
        <v>92.592500000000001</v>
      </c>
      <c r="K133" s="6">
        <v>63.6</v>
      </c>
      <c r="L133">
        <v>8</v>
      </c>
      <c r="M133">
        <v>0</v>
      </c>
      <c r="N133" t="b">
        <v>0</v>
      </c>
      <c r="O133" t="b">
        <v>0</v>
      </c>
      <c r="P133" t="b">
        <v>1</v>
      </c>
    </row>
    <row r="134" spans="1:16" x14ac:dyDescent="0.45">
      <c r="A134" t="s">
        <v>237</v>
      </c>
      <c r="B134" s="2">
        <v>6000044</v>
      </c>
      <c r="D134" t="s">
        <v>34</v>
      </c>
      <c r="F134" t="s">
        <v>42</v>
      </c>
      <c r="G134" t="s">
        <v>95</v>
      </c>
      <c r="H134" s="1">
        <v>48.174759999999999</v>
      </c>
      <c r="I134" s="6">
        <v>85</v>
      </c>
      <c r="J134" s="6">
        <v>85</v>
      </c>
      <c r="K134" s="6">
        <v>51.065245599999997</v>
      </c>
      <c r="L134">
        <v>8</v>
      </c>
      <c r="M134">
        <v>0</v>
      </c>
      <c r="N134" t="b">
        <v>0</v>
      </c>
      <c r="O134" t="b">
        <v>0</v>
      </c>
      <c r="P134" t="b">
        <v>1</v>
      </c>
    </row>
    <row r="135" spans="1:16" x14ac:dyDescent="0.45">
      <c r="A135" t="s">
        <v>238</v>
      </c>
      <c r="B135" s="2">
        <v>1010416</v>
      </c>
      <c r="D135" t="s">
        <v>183</v>
      </c>
      <c r="F135" t="s">
        <v>42</v>
      </c>
      <c r="G135" t="s">
        <v>239</v>
      </c>
      <c r="H135" s="1">
        <v>153.56</v>
      </c>
      <c r="I135" s="6">
        <v>302.47000000000003</v>
      </c>
      <c r="J135" s="6">
        <v>299.38</v>
      </c>
      <c r="K135" s="6">
        <v>162.77359999999999</v>
      </c>
      <c r="L135">
        <v>8</v>
      </c>
      <c r="M135">
        <v>15</v>
      </c>
      <c r="N135" t="b">
        <v>0</v>
      </c>
      <c r="O135" t="b">
        <v>0</v>
      </c>
      <c r="P135" t="b">
        <v>1</v>
      </c>
    </row>
    <row r="136" spans="1:16" x14ac:dyDescent="0.45">
      <c r="A136" t="s">
        <v>240</v>
      </c>
      <c r="B136" s="2">
        <v>3000995</v>
      </c>
      <c r="D136" t="s">
        <v>183</v>
      </c>
      <c r="F136" t="s">
        <v>42</v>
      </c>
      <c r="G136" t="s">
        <v>224</v>
      </c>
      <c r="H136" s="1">
        <v>40.89</v>
      </c>
      <c r="I136" s="6">
        <v>108</v>
      </c>
      <c r="J136" s="6">
        <v>108</v>
      </c>
      <c r="K136" s="6">
        <v>43.343400000000003</v>
      </c>
      <c r="L136">
        <v>8</v>
      </c>
      <c r="M136">
        <v>0</v>
      </c>
      <c r="N136" t="b">
        <v>0</v>
      </c>
      <c r="O136" t="b">
        <v>0</v>
      </c>
      <c r="P136" t="b">
        <v>1</v>
      </c>
    </row>
    <row r="137" spans="1:16" x14ac:dyDescent="0.45">
      <c r="A137" t="s">
        <v>241</v>
      </c>
      <c r="B137" s="2">
        <v>1008786</v>
      </c>
      <c r="D137" t="s">
        <v>183</v>
      </c>
      <c r="F137" t="s">
        <v>42</v>
      </c>
      <c r="G137" t="s">
        <v>200</v>
      </c>
      <c r="H137" s="1">
        <v>24.193000000000001</v>
      </c>
      <c r="I137" s="6">
        <v>60</v>
      </c>
      <c r="J137" s="6">
        <v>60</v>
      </c>
      <c r="K137" s="6">
        <v>25.644580000000001</v>
      </c>
      <c r="L137">
        <v>8</v>
      </c>
      <c r="M137">
        <v>0</v>
      </c>
      <c r="N137" t="b">
        <v>0</v>
      </c>
      <c r="O137" t="b">
        <v>0</v>
      </c>
      <c r="P137" t="b">
        <v>1</v>
      </c>
    </row>
    <row r="138" spans="1:16" x14ac:dyDescent="0.45">
      <c r="A138" t="s">
        <v>242</v>
      </c>
      <c r="B138" s="2">
        <v>1007900</v>
      </c>
      <c r="D138" t="s">
        <v>183</v>
      </c>
      <c r="F138" t="s">
        <v>42</v>
      </c>
      <c r="G138" t="s">
        <v>236</v>
      </c>
      <c r="H138" s="1">
        <v>21.565860000000001</v>
      </c>
      <c r="I138" s="6">
        <v>82.304000000000002</v>
      </c>
      <c r="J138" s="6">
        <v>77.160489999999996</v>
      </c>
      <c r="K138" s="6">
        <v>22.8598116</v>
      </c>
      <c r="L138">
        <v>8</v>
      </c>
      <c r="M138">
        <v>45</v>
      </c>
      <c r="N138" t="b">
        <v>0</v>
      </c>
      <c r="O138" t="b">
        <v>0</v>
      </c>
      <c r="P138" t="b">
        <v>1</v>
      </c>
    </row>
    <row r="139" spans="1:16" x14ac:dyDescent="0.45">
      <c r="A139" t="s">
        <v>243</v>
      </c>
      <c r="B139" s="2">
        <v>6000163</v>
      </c>
      <c r="D139" t="s">
        <v>34</v>
      </c>
      <c r="F139" t="s">
        <v>38</v>
      </c>
      <c r="G139" t="s">
        <v>244</v>
      </c>
      <c r="H139" s="1">
        <v>100.1</v>
      </c>
      <c r="I139" s="6">
        <v>183.6</v>
      </c>
      <c r="J139" s="6">
        <v>183.6</v>
      </c>
      <c r="K139" s="6">
        <v>106.10599999999999</v>
      </c>
      <c r="L139">
        <v>8</v>
      </c>
      <c r="M139">
        <v>0</v>
      </c>
      <c r="N139" t="b">
        <v>0</v>
      </c>
      <c r="O139" t="b">
        <v>0</v>
      </c>
      <c r="P139" t="b">
        <v>1</v>
      </c>
    </row>
    <row r="140" spans="1:16" x14ac:dyDescent="0.45">
      <c r="A140" t="s">
        <v>245</v>
      </c>
      <c r="B140" s="2">
        <v>1101098</v>
      </c>
      <c r="D140" t="s">
        <v>183</v>
      </c>
      <c r="F140" t="s">
        <v>42</v>
      </c>
      <c r="G140" t="s">
        <v>222</v>
      </c>
      <c r="H140" s="1">
        <v>87.43</v>
      </c>
      <c r="I140" s="6">
        <v>140.4</v>
      </c>
      <c r="J140" s="6">
        <v>140.4</v>
      </c>
      <c r="K140" s="6">
        <v>92.675799999999995</v>
      </c>
      <c r="L140">
        <v>8</v>
      </c>
      <c r="M140">
        <v>0</v>
      </c>
      <c r="N140" t="b">
        <v>0</v>
      </c>
      <c r="O140" t="b">
        <v>0</v>
      </c>
      <c r="P140" t="b">
        <v>1</v>
      </c>
    </row>
    <row r="141" spans="1:16" x14ac:dyDescent="0.45">
      <c r="A141" t="s">
        <v>246</v>
      </c>
      <c r="B141" s="2">
        <v>3000577</v>
      </c>
      <c r="D141" t="s">
        <v>183</v>
      </c>
      <c r="F141" t="s">
        <v>42</v>
      </c>
      <c r="G141" t="s">
        <v>68</v>
      </c>
      <c r="H141" s="1">
        <v>49.07</v>
      </c>
      <c r="I141" s="6">
        <v>200</v>
      </c>
      <c r="J141" s="6">
        <v>200</v>
      </c>
      <c r="K141" s="6">
        <v>52.014200000000002</v>
      </c>
      <c r="L141">
        <v>8</v>
      </c>
      <c r="M141">
        <v>15</v>
      </c>
      <c r="N141" t="b">
        <v>0</v>
      </c>
      <c r="O141" t="b">
        <v>0</v>
      </c>
      <c r="P141" t="b">
        <v>1</v>
      </c>
    </row>
    <row r="142" spans="1:16" x14ac:dyDescent="0.45">
      <c r="A142" t="s">
        <v>247</v>
      </c>
      <c r="B142" s="2">
        <v>6000045</v>
      </c>
      <c r="D142" t="s">
        <v>34</v>
      </c>
      <c r="F142" t="s">
        <v>42</v>
      </c>
      <c r="G142" t="s">
        <v>68</v>
      </c>
      <c r="H142" s="1">
        <v>49.073639999999997</v>
      </c>
      <c r="I142" s="6">
        <v>216</v>
      </c>
      <c r="J142" s="6">
        <v>216</v>
      </c>
      <c r="K142" s="6">
        <v>52.018058400000001</v>
      </c>
      <c r="L142">
        <v>8</v>
      </c>
      <c r="M142">
        <v>0</v>
      </c>
      <c r="N142" t="b">
        <v>0</v>
      </c>
      <c r="O142" t="b">
        <v>0</v>
      </c>
      <c r="P142" t="b">
        <v>1</v>
      </c>
    </row>
    <row r="143" spans="1:16" x14ac:dyDescent="0.45">
      <c r="A143" t="s">
        <v>248</v>
      </c>
      <c r="B143" s="2">
        <v>1008071</v>
      </c>
      <c r="D143" t="s">
        <v>183</v>
      </c>
      <c r="F143" t="s">
        <v>42</v>
      </c>
      <c r="G143" t="s">
        <v>60</v>
      </c>
      <c r="H143" s="1">
        <v>65.479659999999996</v>
      </c>
      <c r="I143" s="6">
        <v>130</v>
      </c>
      <c r="J143" s="6">
        <v>130</v>
      </c>
      <c r="K143" s="6">
        <v>69.408439599999994</v>
      </c>
      <c r="L143">
        <v>8</v>
      </c>
      <c r="M143">
        <v>50</v>
      </c>
      <c r="N143" t="b">
        <v>0</v>
      </c>
      <c r="O143" t="b">
        <v>0</v>
      </c>
      <c r="P143" t="b">
        <v>1</v>
      </c>
    </row>
    <row r="144" spans="1:16" x14ac:dyDescent="0.45">
      <c r="A144" t="s">
        <v>249</v>
      </c>
      <c r="B144" s="2">
        <v>477</v>
      </c>
      <c r="D144" t="s">
        <v>183</v>
      </c>
      <c r="F144" t="s">
        <v>42</v>
      </c>
      <c r="G144" t="s">
        <v>250</v>
      </c>
      <c r="H144" s="1">
        <v>53.951000000000001</v>
      </c>
      <c r="I144" s="6">
        <v>97.2</v>
      </c>
      <c r="J144" s="6">
        <v>97.2</v>
      </c>
      <c r="K144" s="6">
        <v>57.18806</v>
      </c>
      <c r="L144">
        <v>8</v>
      </c>
      <c r="M144">
        <v>0</v>
      </c>
      <c r="N144" t="b">
        <v>0</v>
      </c>
      <c r="O144" t="b">
        <v>0</v>
      </c>
      <c r="P144" t="b">
        <v>1</v>
      </c>
    </row>
    <row r="145" spans="1:16" x14ac:dyDescent="0.45">
      <c r="A145" t="s">
        <v>251</v>
      </c>
      <c r="B145" s="2">
        <v>3003225</v>
      </c>
      <c r="D145" t="s">
        <v>183</v>
      </c>
      <c r="F145" t="s">
        <v>42</v>
      </c>
      <c r="G145" t="s">
        <v>252</v>
      </c>
      <c r="H145" s="1">
        <v>163.43</v>
      </c>
      <c r="I145" s="6">
        <v>300</v>
      </c>
      <c r="J145" s="6">
        <v>300</v>
      </c>
      <c r="K145" s="6">
        <v>173.23580000000001</v>
      </c>
      <c r="L145">
        <v>8</v>
      </c>
      <c r="M145">
        <v>15</v>
      </c>
      <c r="N145" t="b">
        <v>0</v>
      </c>
      <c r="O145" t="b">
        <v>0</v>
      </c>
      <c r="P145" t="b">
        <v>1</v>
      </c>
    </row>
    <row r="146" spans="1:16" x14ac:dyDescent="0.45">
      <c r="A146" t="s">
        <v>253</v>
      </c>
      <c r="B146" s="2">
        <v>3003020</v>
      </c>
      <c r="D146" t="s">
        <v>183</v>
      </c>
      <c r="F146" t="s">
        <v>42</v>
      </c>
      <c r="G146" t="s">
        <v>254</v>
      </c>
      <c r="H146" s="1">
        <v>150.76325</v>
      </c>
      <c r="I146" s="6">
        <v>305.55560000000003</v>
      </c>
      <c r="J146" s="6">
        <v>296.3</v>
      </c>
      <c r="K146" s="6">
        <v>159.809045</v>
      </c>
      <c r="L146">
        <v>8</v>
      </c>
      <c r="M146">
        <v>15</v>
      </c>
      <c r="N146" t="b">
        <v>0</v>
      </c>
      <c r="O146" t="b">
        <v>0</v>
      </c>
      <c r="P146" t="b">
        <v>1</v>
      </c>
    </row>
    <row r="147" spans="1:16" x14ac:dyDescent="0.45">
      <c r="A147" t="s">
        <v>255</v>
      </c>
      <c r="B147" s="2">
        <v>3000102</v>
      </c>
      <c r="D147" t="s">
        <v>183</v>
      </c>
      <c r="F147" t="s">
        <v>42</v>
      </c>
      <c r="G147" t="s">
        <v>254</v>
      </c>
      <c r="H147" s="1">
        <v>75.260000000000005</v>
      </c>
      <c r="I147" s="6">
        <v>150</v>
      </c>
      <c r="J147" s="6">
        <v>150</v>
      </c>
      <c r="K147" s="6">
        <v>79.775599999999997</v>
      </c>
      <c r="L147">
        <v>8</v>
      </c>
      <c r="M147">
        <v>0</v>
      </c>
      <c r="N147" t="b">
        <v>0</v>
      </c>
      <c r="O147" t="b">
        <v>0</v>
      </c>
      <c r="P147" t="b">
        <v>1</v>
      </c>
    </row>
    <row r="148" spans="1:16" x14ac:dyDescent="0.45">
      <c r="A148" t="s">
        <v>256</v>
      </c>
      <c r="B148" s="2">
        <v>6000046</v>
      </c>
      <c r="D148" t="s">
        <v>34</v>
      </c>
      <c r="F148" t="s">
        <v>38</v>
      </c>
      <c r="G148" t="s">
        <v>257</v>
      </c>
      <c r="H148" s="1">
        <v>10.70082</v>
      </c>
      <c r="I148" s="6">
        <v>20.83</v>
      </c>
      <c r="J148" s="6">
        <v>20.83</v>
      </c>
      <c r="K148" s="6">
        <v>11.342869200000001</v>
      </c>
      <c r="L148">
        <v>8</v>
      </c>
      <c r="M148">
        <v>0</v>
      </c>
      <c r="N148" t="b">
        <v>0</v>
      </c>
      <c r="O148" t="b">
        <v>0</v>
      </c>
      <c r="P148" t="b">
        <v>1</v>
      </c>
    </row>
    <row r="149" spans="1:16" x14ac:dyDescent="0.45">
      <c r="A149" t="s">
        <v>258</v>
      </c>
      <c r="B149" s="2">
        <v>6000199</v>
      </c>
      <c r="D149" t="s">
        <v>34</v>
      </c>
      <c r="F149" t="s">
        <v>42</v>
      </c>
      <c r="G149" t="s">
        <v>47</v>
      </c>
      <c r="H149" s="1">
        <v>145</v>
      </c>
      <c r="I149" s="6">
        <v>216</v>
      </c>
      <c r="J149" s="6">
        <v>216</v>
      </c>
      <c r="K149" s="6">
        <v>153.69999999999999</v>
      </c>
      <c r="L149">
        <v>8</v>
      </c>
      <c r="M149">
        <v>0</v>
      </c>
      <c r="N149" t="b">
        <v>0</v>
      </c>
      <c r="O149" t="b">
        <v>0</v>
      </c>
      <c r="P149" t="b">
        <v>1</v>
      </c>
    </row>
    <row r="150" spans="1:16" x14ac:dyDescent="0.45">
      <c r="A150" t="s">
        <v>259</v>
      </c>
      <c r="B150" s="2">
        <v>1101069</v>
      </c>
      <c r="D150" t="s">
        <v>183</v>
      </c>
      <c r="F150" t="s">
        <v>42</v>
      </c>
      <c r="G150" t="s">
        <v>118</v>
      </c>
      <c r="H150" s="1">
        <v>145</v>
      </c>
      <c r="I150" s="6">
        <v>194.4444</v>
      </c>
      <c r="J150" s="6">
        <v>190</v>
      </c>
      <c r="K150" s="6">
        <v>153.69999999999999</v>
      </c>
      <c r="L150">
        <v>8</v>
      </c>
      <c r="M150">
        <v>30</v>
      </c>
      <c r="N150" t="b">
        <v>0</v>
      </c>
      <c r="O150" t="b">
        <v>0</v>
      </c>
      <c r="P150" t="b">
        <v>1</v>
      </c>
    </row>
    <row r="151" spans="1:16" x14ac:dyDescent="0.45">
      <c r="A151" t="s">
        <v>260</v>
      </c>
      <c r="B151" s="2">
        <v>3000061</v>
      </c>
      <c r="D151" t="s">
        <v>183</v>
      </c>
      <c r="F151" t="s">
        <v>42</v>
      </c>
      <c r="G151" t="s">
        <v>118</v>
      </c>
      <c r="H151" s="1">
        <v>133.66737000000001</v>
      </c>
      <c r="I151" s="6">
        <v>287.03699999999998</v>
      </c>
      <c r="J151" s="6">
        <v>277.77999999999997</v>
      </c>
      <c r="K151" s="6">
        <v>141.68741220000001</v>
      </c>
      <c r="L151">
        <v>8</v>
      </c>
      <c r="M151">
        <v>30</v>
      </c>
      <c r="N151" t="b">
        <v>0</v>
      </c>
      <c r="O151" t="b">
        <v>0</v>
      </c>
      <c r="P151" t="b">
        <v>1</v>
      </c>
    </row>
    <row r="152" spans="1:16" x14ac:dyDescent="0.45">
      <c r="A152" t="s">
        <v>261</v>
      </c>
      <c r="B152" s="2">
        <v>6000200</v>
      </c>
      <c r="D152" t="s">
        <v>34</v>
      </c>
      <c r="F152" t="s">
        <v>42</v>
      </c>
      <c r="G152" t="s">
        <v>47</v>
      </c>
      <c r="H152" s="1">
        <v>160</v>
      </c>
      <c r="I152" s="6">
        <v>253.8</v>
      </c>
      <c r="J152" s="6">
        <v>253.8</v>
      </c>
      <c r="K152" s="6">
        <v>169.6</v>
      </c>
      <c r="L152">
        <v>8</v>
      </c>
      <c r="M152">
        <v>0</v>
      </c>
      <c r="N152" t="b">
        <v>0</v>
      </c>
      <c r="O152" t="b">
        <v>0</v>
      </c>
      <c r="P152" t="b">
        <v>1</v>
      </c>
    </row>
    <row r="153" spans="1:16" x14ac:dyDescent="0.45">
      <c r="A153" t="s">
        <v>262</v>
      </c>
      <c r="B153" s="2">
        <v>3000555</v>
      </c>
      <c r="D153" t="s">
        <v>183</v>
      </c>
      <c r="F153" t="s">
        <v>42</v>
      </c>
      <c r="G153" t="s">
        <v>263</v>
      </c>
      <c r="H153" s="1">
        <v>110.25839000000001</v>
      </c>
      <c r="I153" s="6">
        <v>203.7037</v>
      </c>
      <c r="J153" s="6">
        <v>194.44</v>
      </c>
      <c r="K153" s="6">
        <v>116.8738934</v>
      </c>
      <c r="L153">
        <v>8</v>
      </c>
      <c r="M153">
        <v>20</v>
      </c>
      <c r="N153" t="b">
        <v>0</v>
      </c>
      <c r="O153" t="b">
        <v>0</v>
      </c>
      <c r="P153" t="b">
        <v>1</v>
      </c>
    </row>
    <row r="154" spans="1:16" x14ac:dyDescent="0.45">
      <c r="A154" t="s">
        <v>264</v>
      </c>
      <c r="B154" s="2">
        <v>3000540</v>
      </c>
      <c r="D154" t="s">
        <v>183</v>
      </c>
      <c r="F154" t="s">
        <v>38</v>
      </c>
      <c r="G154" t="s">
        <v>257</v>
      </c>
      <c r="H154" s="1">
        <v>10.70082</v>
      </c>
      <c r="I154" s="6">
        <v>18.518519999999999</v>
      </c>
      <c r="J154" s="6">
        <v>15.42</v>
      </c>
      <c r="K154" s="6">
        <v>11.342869200000001</v>
      </c>
      <c r="L154">
        <v>8</v>
      </c>
      <c r="M154">
        <v>600</v>
      </c>
      <c r="N154" t="b">
        <v>0</v>
      </c>
      <c r="O154" t="b">
        <v>0</v>
      </c>
      <c r="P154" t="b">
        <v>1</v>
      </c>
    </row>
    <row r="155" spans="1:16" x14ac:dyDescent="0.45">
      <c r="A155" t="s">
        <v>265</v>
      </c>
      <c r="B155" s="2">
        <v>274</v>
      </c>
      <c r="D155" t="s">
        <v>183</v>
      </c>
      <c r="F155" t="s">
        <v>42</v>
      </c>
      <c r="G155" t="s">
        <v>222</v>
      </c>
      <c r="H155" s="1">
        <v>82.57</v>
      </c>
      <c r="I155" s="6">
        <v>170</v>
      </c>
      <c r="J155" s="6">
        <v>170</v>
      </c>
      <c r="K155" s="6">
        <v>87.524199999999993</v>
      </c>
      <c r="L155">
        <v>8</v>
      </c>
      <c r="M155">
        <v>0</v>
      </c>
      <c r="N155" t="b">
        <v>0</v>
      </c>
      <c r="O155" t="b">
        <v>0</v>
      </c>
      <c r="P155" t="b">
        <v>1</v>
      </c>
    </row>
    <row r="156" spans="1:16" x14ac:dyDescent="0.45">
      <c r="A156" t="s">
        <v>266</v>
      </c>
      <c r="B156" s="2">
        <v>3000013</v>
      </c>
      <c r="C156" t="s">
        <v>33</v>
      </c>
      <c r="D156" t="s">
        <v>183</v>
      </c>
      <c r="E156" s="5" t="s">
        <v>33</v>
      </c>
      <c r="F156" t="s">
        <v>38</v>
      </c>
      <c r="G156" t="s">
        <v>257</v>
      </c>
      <c r="H156" s="1">
        <v>10.63</v>
      </c>
      <c r="I156" s="6">
        <v>23.148150000000001</v>
      </c>
      <c r="J156" s="6">
        <v>17.75</v>
      </c>
      <c r="K156" s="6">
        <v>11.27</v>
      </c>
      <c r="L156">
        <v>8</v>
      </c>
      <c r="M156">
        <v>1200</v>
      </c>
      <c r="N156" t="b">
        <v>0</v>
      </c>
      <c r="O156" t="b">
        <v>0</v>
      </c>
      <c r="P156" t="b">
        <v>1</v>
      </c>
    </row>
    <row r="157" spans="1:16" x14ac:dyDescent="0.45">
      <c r="A157" t="s">
        <v>267</v>
      </c>
      <c r="B157" s="2">
        <v>1016498</v>
      </c>
      <c r="D157" t="s">
        <v>183</v>
      </c>
      <c r="F157" t="s">
        <v>42</v>
      </c>
      <c r="G157" t="s">
        <v>268</v>
      </c>
      <c r="H157" s="1">
        <v>82.14</v>
      </c>
      <c r="I157" s="6">
        <v>112</v>
      </c>
      <c r="J157" s="6">
        <v>112</v>
      </c>
      <c r="K157" s="6">
        <v>87.068399999999997</v>
      </c>
      <c r="L157">
        <v>8</v>
      </c>
      <c r="M157">
        <v>0</v>
      </c>
      <c r="N157" t="b">
        <v>0</v>
      </c>
      <c r="O157" t="b">
        <v>0</v>
      </c>
      <c r="P157" t="b">
        <v>1</v>
      </c>
    </row>
    <row r="158" spans="1:16" x14ac:dyDescent="0.45">
      <c r="A158" t="s">
        <v>269</v>
      </c>
      <c r="B158" s="2">
        <v>6000047</v>
      </c>
      <c r="D158" t="s">
        <v>34</v>
      </c>
      <c r="F158" t="s">
        <v>38</v>
      </c>
      <c r="G158" t="s">
        <v>118</v>
      </c>
      <c r="H158" s="1">
        <v>114.17023</v>
      </c>
      <c r="I158" s="6">
        <v>185.18520000000001</v>
      </c>
      <c r="J158" s="6">
        <v>175.93</v>
      </c>
      <c r="K158" s="6">
        <v>121.0204438</v>
      </c>
      <c r="L158">
        <v>8</v>
      </c>
      <c r="M158">
        <v>0</v>
      </c>
      <c r="N158" t="b">
        <v>0</v>
      </c>
      <c r="O158" t="b">
        <v>0</v>
      </c>
      <c r="P158" t="b">
        <v>1</v>
      </c>
    </row>
    <row r="159" spans="1:16" x14ac:dyDescent="0.45">
      <c r="A159" t="s">
        <v>270</v>
      </c>
      <c r="B159" s="2">
        <v>3003421</v>
      </c>
      <c r="D159" t="s">
        <v>183</v>
      </c>
      <c r="F159" t="s">
        <v>42</v>
      </c>
      <c r="G159" t="s">
        <v>224</v>
      </c>
      <c r="H159" s="1">
        <v>50.62012</v>
      </c>
      <c r="I159" s="6">
        <v>100</v>
      </c>
      <c r="J159" s="6">
        <v>100</v>
      </c>
      <c r="K159" s="6">
        <v>53.657327199999997</v>
      </c>
      <c r="L159">
        <v>8</v>
      </c>
      <c r="M159">
        <v>120</v>
      </c>
      <c r="N159" t="b">
        <v>0</v>
      </c>
      <c r="O159" t="b">
        <v>0</v>
      </c>
      <c r="P159" t="b">
        <v>1</v>
      </c>
    </row>
    <row r="160" spans="1:16" x14ac:dyDescent="0.45">
      <c r="A160" t="s">
        <v>271</v>
      </c>
      <c r="B160" s="2" t="s">
        <v>272</v>
      </c>
      <c r="C160" t="s">
        <v>33</v>
      </c>
      <c r="D160" t="s">
        <v>183</v>
      </c>
      <c r="E160" s="5" t="s">
        <v>33</v>
      </c>
      <c r="F160" t="s">
        <v>273</v>
      </c>
      <c r="G160" t="s">
        <v>274</v>
      </c>
      <c r="H160" s="1">
        <v>37.85</v>
      </c>
      <c r="I160" s="6">
        <v>83.33</v>
      </c>
      <c r="J160" s="6">
        <v>83.33</v>
      </c>
      <c r="K160" s="6">
        <v>77.16</v>
      </c>
      <c r="L160">
        <v>8</v>
      </c>
      <c r="M160">
        <v>10</v>
      </c>
      <c r="N160" t="b">
        <v>0</v>
      </c>
      <c r="O160" t="b">
        <v>0</v>
      </c>
      <c r="P160" t="b">
        <v>1</v>
      </c>
    </row>
    <row r="161" spans="1:16" x14ac:dyDescent="0.45">
      <c r="A161" t="s">
        <v>275</v>
      </c>
      <c r="B161" s="2">
        <v>98</v>
      </c>
      <c r="D161" t="s">
        <v>183</v>
      </c>
      <c r="F161" t="s">
        <v>42</v>
      </c>
      <c r="G161" t="s">
        <v>276</v>
      </c>
      <c r="H161" s="1">
        <v>30.82</v>
      </c>
      <c r="I161" s="6">
        <v>58.32</v>
      </c>
      <c r="J161" s="6">
        <v>58.32</v>
      </c>
      <c r="K161" s="6">
        <v>32.669199999999996</v>
      </c>
      <c r="L161">
        <v>8</v>
      </c>
      <c r="M161">
        <v>0</v>
      </c>
      <c r="N161" t="b">
        <v>0</v>
      </c>
      <c r="O161" t="b">
        <v>0</v>
      </c>
      <c r="P161" t="b">
        <v>1</v>
      </c>
    </row>
    <row r="162" spans="1:16" x14ac:dyDescent="0.45">
      <c r="A162" t="s">
        <v>277</v>
      </c>
      <c r="B162" s="2" t="s">
        <v>278</v>
      </c>
      <c r="C162" t="s">
        <v>33</v>
      </c>
      <c r="D162" t="s">
        <v>183</v>
      </c>
      <c r="E162" s="5" t="s">
        <v>33</v>
      </c>
      <c r="F162" t="s">
        <v>273</v>
      </c>
      <c r="H162" s="1">
        <v>48.62</v>
      </c>
      <c r="I162" s="6">
        <v>100</v>
      </c>
      <c r="J162" s="6">
        <v>100</v>
      </c>
      <c r="K162" s="6">
        <v>100</v>
      </c>
      <c r="L162">
        <v>8</v>
      </c>
      <c r="M162">
        <v>10</v>
      </c>
      <c r="N162" t="b">
        <v>0</v>
      </c>
      <c r="O162" t="b">
        <v>0</v>
      </c>
      <c r="P162" t="b">
        <v>1</v>
      </c>
    </row>
    <row r="163" spans="1:16" x14ac:dyDescent="0.45">
      <c r="A163" t="s">
        <v>279</v>
      </c>
      <c r="B163" s="2">
        <v>3000050</v>
      </c>
      <c r="C163" t="s">
        <v>33</v>
      </c>
      <c r="D163" t="s">
        <v>183</v>
      </c>
      <c r="E163" s="5" t="s">
        <v>33</v>
      </c>
      <c r="F163" t="s">
        <v>42</v>
      </c>
      <c r="G163" t="s">
        <v>280</v>
      </c>
      <c r="H163" s="1">
        <v>30.81</v>
      </c>
      <c r="I163" s="6">
        <v>56.48</v>
      </c>
      <c r="J163" s="6">
        <v>60.185189999999999</v>
      </c>
      <c r="K163" s="6">
        <v>32.659999999999997</v>
      </c>
      <c r="L163">
        <v>8</v>
      </c>
      <c r="M163">
        <v>300</v>
      </c>
      <c r="N163" t="b">
        <v>0</v>
      </c>
      <c r="O163" t="b">
        <v>0</v>
      </c>
      <c r="P163" t="b">
        <v>1</v>
      </c>
    </row>
    <row r="164" spans="1:16" x14ac:dyDescent="0.45">
      <c r="A164" t="s">
        <v>281</v>
      </c>
      <c r="B164" s="2">
        <v>6000048</v>
      </c>
      <c r="C164" t="s">
        <v>33</v>
      </c>
      <c r="D164" t="s">
        <v>34</v>
      </c>
      <c r="E164" s="5" t="s">
        <v>33</v>
      </c>
      <c r="F164" t="s">
        <v>42</v>
      </c>
      <c r="G164" t="s">
        <v>282</v>
      </c>
      <c r="H164" s="1">
        <v>50.01</v>
      </c>
      <c r="I164" s="6">
        <v>75</v>
      </c>
      <c r="J164" s="6">
        <v>75</v>
      </c>
      <c r="K164" s="6">
        <v>53.01</v>
      </c>
      <c r="L164">
        <v>8</v>
      </c>
      <c r="M164">
        <v>0</v>
      </c>
      <c r="N164" t="b">
        <v>0</v>
      </c>
      <c r="O164" t="b">
        <v>0</v>
      </c>
      <c r="P164" t="b">
        <v>1</v>
      </c>
    </row>
    <row r="165" spans="1:16" x14ac:dyDescent="0.45">
      <c r="A165" t="s">
        <v>283</v>
      </c>
      <c r="B165" s="2">
        <v>1010150</v>
      </c>
      <c r="C165" t="s">
        <v>33</v>
      </c>
      <c r="D165" t="s">
        <v>183</v>
      </c>
      <c r="E165" s="5" t="s">
        <v>33</v>
      </c>
      <c r="F165" t="s">
        <v>42</v>
      </c>
      <c r="G165" t="s">
        <v>284</v>
      </c>
      <c r="H165" s="1">
        <v>30.96</v>
      </c>
      <c r="I165" s="6">
        <v>58.922199999999997</v>
      </c>
      <c r="J165" s="6">
        <v>56.4</v>
      </c>
      <c r="K165" s="6">
        <v>32.82</v>
      </c>
      <c r="L165">
        <v>8</v>
      </c>
      <c r="M165">
        <v>220</v>
      </c>
      <c r="N165" t="b">
        <v>0</v>
      </c>
      <c r="O165" t="b">
        <v>0</v>
      </c>
      <c r="P165" t="b">
        <v>1</v>
      </c>
    </row>
    <row r="166" spans="1:16" x14ac:dyDescent="0.45">
      <c r="A166" t="s">
        <v>285</v>
      </c>
      <c r="B166" s="2">
        <v>3000116</v>
      </c>
      <c r="C166" t="s">
        <v>33</v>
      </c>
      <c r="D166" t="s">
        <v>183</v>
      </c>
      <c r="E166" s="5" t="s">
        <v>33</v>
      </c>
      <c r="F166" t="s">
        <v>42</v>
      </c>
      <c r="G166" t="s">
        <v>286</v>
      </c>
      <c r="H166" s="1">
        <v>30.62</v>
      </c>
      <c r="I166" s="6">
        <v>57.87</v>
      </c>
      <c r="J166" s="6">
        <v>56.71</v>
      </c>
      <c r="K166" s="6">
        <v>32.450000000000003</v>
      </c>
      <c r="L166">
        <v>8</v>
      </c>
      <c r="M166">
        <v>300</v>
      </c>
      <c r="N166" t="b">
        <v>0</v>
      </c>
      <c r="O166" t="b">
        <v>0</v>
      </c>
      <c r="P166" t="b">
        <v>1</v>
      </c>
    </row>
    <row r="167" spans="1:16" x14ac:dyDescent="0.45">
      <c r="A167" t="s">
        <v>287</v>
      </c>
      <c r="B167" s="2">
        <v>6000049</v>
      </c>
      <c r="D167" t="s">
        <v>34</v>
      </c>
      <c r="F167" t="s">
        <v>42</v>
      </c>
      <c r="G167" t="s">
        <v>288</v>
      </c>
      <c r="H167" s="1">
        <v>29.26</v>
      </c>
      <c r="I167" s="6">
        <v>57.87</v>
      </c>
      <c r="J167" s="6">
        <v>56.71</v>
      </c>
      <c r="K167" s="6">
        <v>31.015599999999999</v>
      </c>
      <c r="L167">
        <v>8</v>
      </c>
      <c r="M167">
        <v>0</v>
      </c>
      <c r="N167" t="b">
        <v>0</v>
      </c>
      <c r="O167" t="b">
        <v>0</v>
      </c>
      <c r="P167" t="b">
        <v>1</v>
      </c>
    </row>
    <row r="168" spans="1:16" x14ac:dyDescent="0.45">
      <c r="A168" t="s">
        <v>289</v>
      </c>
      <c r="B168" s="2">
        <v>286</v>
      </c>
      <c r="D168" t="s">
        <v>183</v>
      </c>
      <c r="F168" t="s">
        <v>42</v>
      </c>
      <c r="G168" t="s">
        <v>290</v>
      </c>
      <c r="H168" s="1">
        <v>32.865000000000002</v>
      </c>
      <c r="I168" s="6">
        <v>47.69</v>
      </c>
      <c r="J168" s="6">
        <v>47.69</v>
      </c>
      <c r="K168" s="6">
        <v>34.8369</v>
      </c>
      <c r="L168">
        <v>8</v>
      </c>
      <c r="M168">
        <v>260</v>
      </c>
      <c r="N168" t="b">
        <v>0</v>
      </c>
      <c r="O168" t="b">
        <v>0</v>
      </c>
      <c r="P168" t="b">
        <v>1</v>
      </c>
    </row>
    <row r="169" spans="1:16" x14ac:dyDescent="0.45">
      <c r="A169" t="s">
        <v>291</v>
      </c>
      <c r="B169" s="2">
        <v>3000118</v>
      </c>
      <c r="C169" t="s">
        <v>33</v>
      </c>
      <c r="D169" t="s">
        <v>183</v>
      </c>
      <c r="E169" s="5" t="s">
        <v>33</v>
      </c>
      <c r="F169" t="s">
        <v>42</v>
      </c>
      <c r="G169" t="s">
        <v>292</v>
      </c>
      <c r="H169" s="1">
        <v>30.98</v>
      </c>
      <c r="I169" s="6">
        <v>59.523000000000003</v>
      </c>
      <c r="J169" s="6">
        <v>56.55</v>
      </c>
      <c r="K169" s="6">
        <v>32.840000000000003</v>
      </c>
      <c r="L169">
        <v>8</v>
      </c>
      <c r="M169">
        <v>280</v>
      </c>
      <c r="N169" t="b">
        <v>0</v>
      </c>
      <c r="O169" t="b">
        <v>0</v>
      </c>
      <c r="P169" t="b">
        <v>1</v>
      </c>
    </row>
    <row r="170" spans="1:16" x14ac:dyDescent="0.45">
      <c r="A170" t="s">
        <v>293</v>
      </c>
      <c r="B170" s="2">
        <v>3000712</v>
      </c>
      <c r="D170" t="s">
        <v>183</v>
      </c>
      <c r="F170" t="s">
        <v>42</v>
      </c>
      <c r="G170" t="s">
        <v>232</v>
      </c>
      <c r="H170" s="1">
        <v>29.84</v>
      </c>
      <c r="I170" s="6">
        <v>58.33</v>
      </c>
      <c r="J170" s="6">
        <v>58.33</v>
      </c>
      <c r="K170" s="6">
        <v>31.630400000000002</v>
      </c>
      <c r="L170">
        <v>8</v>
      </c>
      <c r="M170">
        <v>180</v>
      </c>
      <c r="N170" t="b">
        <v>0</v>
      </c>
      <c r="O170" t="b">
        <v>0</v>
      </c>
      <c r="P170" t="b">
        <v>1</v>
      </c>
    </row>
    <row r="171" spans="1:16" x14ac:dyDescent="0.45">
      <c r="A171" t="s">
        <v>294</v>
      </c>
      <c r="B171" s="2">
        <v>6000050</v>
      </c>
      <c r="D171" t="s">
        <v>34</v>
      </c>
      <c r="F171" t="s">
        <v>42</v>
      </c>
      <c r="G171" t="s">
        <v>230</v>
      </c>
      <c r="H171" s="1">
        <v>41.666670000000003</v>
      </c>
      <c r="I171" s="6">
        <v>65</v>
      </c>
      <c r="J171" s="6">
        <v>65</v>
      </c>
      <c r="K171" s="6">
        <v>44.166670199999999</v>
      </c>
      <c r="L171">
        <v>8</v>
      </c>
      <c r="M171">
        <v>0</v>
      </c>
      <c r="N171" t="b">
        <v>0</v>
      </c>
      <c r="O171" t="b">
        <v>0</v>
      </c>
      <c r="P171" t="b">
        <v>1</v>
      </c>
    </row>
    <row r="172" spans="1:16" x14ac:dyDescent="0.45">
      <c r="A172" t="s">
        <v>295</v>
      </c>
      <c r="B172" s="2">
        <v>6000051</v>
      </c>
      <c r="D172" t="s">
        <v>34</v>
      </c>
      <c r="F172" t="s">
        <v>42</v>
      </c>
      <c r="G172" t="s">
        <v>296</v>
      </c>
      <c r="H172" s="1">
        <v>60</v>
      </c>
      <c r="I172" s="6">
        <v>100</v>
      </c>
      <c r="J172" s="6">
        <v>100</v>
      </c>
      <c r="K172" s="6">
        <v>63.6</v>
      </c>
      <c r="L172">
        <v>8</v>
      </c>
      <c r="M172">
        <v>0</v>
      </c>
      <c r="N172" t="b">
        <v>0</v>
      </c>
      <c r="O172" t="b">
        <v>0</v>
      </c>
      <c r="P172" t="b">
        <v>1</v>
      </c>
    </row>
    <row r="173" spans="1:16" x14ac:dyDescent="0.45">
      <c r="A173" t="s">
        <v>297</v>
      </c>
      <c r="B173" s="2">
        <v>1007923</v>
      </c>
      <c r="D173" t="s">
        <v>183</v>
      </c>
      <c r="F173" t="s">
        <v>42</v>
      </c>
      <c r="G173" t="s">
        <v>232</v>
      </c>
      <c r="H173" s="1">
        <v>39.109690000000001</v>
      </c>
      <c r="I173" s="6">
        <v>82.31</v>
      </c>
      <c r="J173" s="6">
        <v>77.160399999999996</v>
      </c>
      <c r="K173" s="6">
        <v>41.456271399999999</v>
      </c>
      <c r="L173">
        <v>8</v>
      </c>
      <c r="M173">
        <v>108</v>
      </c>
      <c r="N173" t="b">
        <v>0</v>
      </c>
      <c r="O173" t="b">
        <v>0</v>
      </c>
      <c r="P173" t="b">
        <v>1</v>
      </c>
    </row>
    <row r="174" spans="1:16" x14ac:dyDescent="0.45">
      <c r="A174" t="s">
        <v>298</v>
      </c>
      <c r="B174" s="2">
        <v>3000114</v>
      </c>
      <c r="D174" t="s">
        <v>41</v>
      </c>
      <c r="F174" t="s">
        <v>42</v>
      </c>
      <c r="G174" t="s">
        <v>47</v>
      </c>
      <c r="H174" s="1">
        <v>66.489999999999995</v>
      </c>
      <c r="I174" s="6">
        <v>125</v>
      </c>
      <c r="J174" s="6">
        <v>120</v>
      </c>
      <c r="K174" s="6">
        <v>70.479399999999998</v>
      </c>
      <c r="L174">
        <v>0</v>
      </c>
      <c r="M174">
        <v>0</v>
      </c>
      <c r="N174" t="b">
        <v>0</v>
      </c>
      <c r="O174" t="b">
        <v>0</v>
      </c>
      <c r="P174" t="b">
        <v>1</v>
      </c>
    </row>
    <row r="175" spans="1:16" x14ac:dyDescent="0.45">
      <c r="A175" t="s">
        <v>299</v>
      </c>
      <c r="B175" s="2">
        <v>6000052</v>
      </c>
      <c r="D175" t="s">
        <v>34</v>
      </c>
      <c r="F175" t="s">
        <v>42</v>
      </c>
      <c r="G175" t="s">
        <v>47</v>
      </c>
      <c r="H175" s="1">
        <v>70.684520000000006</v>
      </c>
      <c r="I175" s="6">
        <v>125</v>
      </c>
      <c r="J175" s="6">
        <v>120</v>
      </c>
      <c r="K175" s="6">
        <v>74.9255912</v>
      </c>
      <c r="L175">
        <v>0</v>
      </c>
      <c r="M175">
        <v>0</v>
      </c>
      <c r="N175" t="b">
        <v>0</v>
      </c>
      <c r="O175" t="b">
        <v>0</v>
      </c>
      <c r="P175" t="b">
        <v>1</v>
      </c>
    </row>
    <row r="176" spans="1:16" x14ac:dyDescent="0.45">
      <c r="A176" t="s">
        <v>300</v>
      </c>
      <c r="B176" s="2">
        <v>1007487</v>
      </c>
      <c r="D176" t="s">
        <v>41</v>
      </c>
      <c r="F176" t="s">
        <v>42</v>
      </c>
      <c r="G176" t="s">
        <v>47</v>
      </c>
      <c r="H176" s="1">
        <v>54.152000000000001</v>
      </c>
      <c r="I176" s="6">
        <v>125</v>
      </c>
      <c r="J176" s="6">
        <v>120</v>
      </c>
      <c r="K176" s="6">
        <v>57.401119999999999</v>
      </c>
      <c r="L176">
        <v>0</v>
      </c>
      <c r="M176">
        <v>0</v>
      </c>
      <c r="N176" t="b">
        <v>0</v>
      </c>
      <c r="O176" t="b">
        <v>0</v>
      </c>
      <c r="P176" t="b">
        <v>1</v>
      </c>
    </row>
    <row r="177" spans="1:16" x14ac:dyDescent="0.45">
      <c r="A177" t="s">
        <v>301</v>
      </c>
      <c r="B177" s="2">
        <v>6000053</v>
      </c>
      <c r="D177" t="s">
        <v>34</v>
      </c>
      <c r="F177" t="s">
        <v>42</v>
      </c>
      <c r="G177" t="s">
        <v>65</v>
      </c>
      <c r="H177" s="1">
        <v>65</v>
      </c>
      <c r="I177" s="6">
        <v>91.8</v>
      </c>
      <c r="J177" s="6">
        <v>91.8</v>
      </c>
      <c r="K177" s="6">
        <v>68.900000000000006</v>
      </c>
      <c r="L177">
        <v>8</v>
      </c>
      <c r="M177">
        <v>0</v>
      </c>
      <c r="N177" t="b">
        <v>0</v>
      </c>
      <c r="O177" t="b">
        <v>0</v>
      </c>
      <c r="P177" t="b">
        <v>1</v>
      </c>
    </row>
    <row r="178" spans="1:16" x14ac:dyDescent="0.45">
      <c r="A178" t="s">
        <v>302</v>
      </c>
      <c r="B178" s="2">
        <v>6000054</v>
      </c>
      <c r="D178" t="s">
        <v>34</v>
      </c>
      <c r="F178" t="s">
        <v>51</v>
      </c>
      <c r="H178" s="1">
        <v>15.081440000000001</v>
      </c>
      <c r="I178" s="6">
        <v>21.6</v>
      </c>
      <c r="J178" s="6">
        <v>21.6</v>
      </c>
      <c r="K178" s="6">
        <v>15.986326399999999</v>
      </c>
      <c r="L178">
        <v>8</v>
      </c>
      <c r="M178">
        <v>0</v>
      </c>
      <c r="N178" t="b">
        <v>0</v>
      </c>
      <c r="O178" t="b">
        <v>0</v>
      </c>
      <c r="P178" t="b">
        <v>1</v>
      </c>
    </row>
    <row r="179" spans="1:16" x14ac:dyDescent="0.45">
      <c r="A179" t="s">
        <v>303</v>
      </c>
      <c r="B179" s="2">
        <v>3000428</v>
      </c>
      <c r="D179" t="s">
        <v>41</v>
      </c>
      <c r="F179" t="s">
        <v>42</v>
      </c>
      <c r="G179" t="s">
        <v>47</v>
      </c>
      <c r="H179" s="1">
        <v>68.03</v>
      </c>
      <c r="I179" s="6">
        <v>160</v>
      </c>
      <c r="J179" s="6">
        <v>150</v>
      </c>
      <c r="K179" s="6">
        <v>72.111800000000002</v>
      </c>
      <c r="L179">
        <v>0</v>
      </c>
      <c r="M179">
        <v>0</v>
      </c>
      <c r="N179" t="b">
        <v>0</v>
      </c>
      <c r="O179" t="b">
        <v>0</v>
      </c>
      <c r="P179" t="b">
        <v>1</v>
      </c>
    </row>
    <row r="180" spans="1:16" x14ac:dyDescent="0.45">
      <c r="A180" t="s">
        <v>304</v>
      </c>
      <c r="B180" s="2">
        <v>6000162</v>
      </c>
      <c r="D180" t="s">
        <v>34</v>
      </c>
      <c r="F180" t="s">
        <v>42</v>
      </c>
      <c r="G180" t="s">
        <v>47</v>
      </c>
      <c r="H180" s="1">
        <v>155</v>
      </c>
      <c r="I180" s="6">
        <v>152.82</v>
      </c>
      <c r="J180" s="6">
        <v>152.82</v>
      </c>
      <c r="K180" s="6">
        <v>164.3</v>
      </c>
      <c r="L180">
        <v>0</v>
      </c>
      <c r="M180">
        <v>0</v>
      </c>
      <c r="N180" t="b">
        <v>0</v>
      </c>
      <c r="O180" t="b">
        <v>0</v>
      </c>
      <c r="P180" t="b">
        <v>1</v>
      </c>
    </row>
    <row r="181" spans="1:16" x14ac:dyDescent="0.45">
      <c r="A181" t="s">
        <v>305</v>
      </c>
      <c r="B181" s="2">
        <v>3000413</v>
      </c>
      <c r="D181" t="s">
        <v>41</v>
      </c>
      <c r="F181" t="s">
        <v>38</v>
      </c>
      <c r="G181" t="s">
        <v>86</v>
      </c>
      <c r="H181" s="1">
        <v>52.94</v>
      </c>
      <c r="I181" s="6">
        <v>120</v>
      </c>
      <c r="J181" s="6">
        <v>110</v>
      </c>
      <c r="K181" s="6">
        <v>56.116399999999999</v>
      </c>
      <c r="L181">
        <v>0</v>
      </c>
      <c r="M181">
        <v>0</v>
      </c>
      <c r="N181" t="b">
        <v>0</v>
      </c>
      <c r="O181" t="b">
        <v>0</v>
      </c>
      <c r="P181" t="b">
        <v>1</v>
      </c>
    </row>
    <row r="182" spans="1:16" x14ac:dyDescent="0.45">
      <c r="A182" t="s">
        <v>306</v>
      </c>
      <c r="B182" s="2" t="s">
        <v>307</v>
      </c>
      <c r="D182" t="s">
        <v>50</v>
      </c>
      <c r="F182" t="s">
        <v>51</v>
      </c>
      <c r="G182" t="s">
        <v>308</v>
      </c>
      <c r="H182" s="1">
        <v>170.13761</v>
      </c>
      <c r="I182" s="6">
        <v>280</v>
      </c>
      <c r="J182" s="6">
        <v>280</v>
      </c>
      <c r="K182" s="6">
        <v>180.34586659999999</v>
      </c>
      <c r="L182">
        <v>8</v>
      </c>
      <c r="M182">
        <v>30</v>
      </c>
      <c r="N182" t="b">
        <v>0</v>
      </c>
      <c r="O182" t="b">
        <v>0</v>
      </c>
      <c r="P182" t="b">
        <v>1</v>
      </c>
    </row>
    <row r="183" spans="1:16" x14ac:dyDescent="0.45">
      <c r="A183" t="s">
        <v>309</v>
      </c>
      <c r="B183" s="2">
        <v>6000055</v>
      </c>
      <c r="D183" t="s">
        <v>34</v>
      </c>
      <c r="F183" t="s">
        <v>51</v>
      </c>
      <c r="G183" t="s">
        <v>310</v>
      </c>
      <c r="H183" s="1">
        <v>160.01105000000001</v>
      </c>
      <c r="I183" s="6">
        <v>220</v>
      </c>
      <c r="J183" s="6">
        <v>220</v>
      </c>
      <c r="K183" s="6">
        <v>169.61171300000001</v>
      </c>
      <c r="L183">
        <v>8</v>
      </c>
      <c r="M183">
        <v>0</v>
      </c>
      <c r="N183" t="b">
        <v>0</v>
      </c>
      <c r="O183" t="b">
        <v>0</v>
      </c>
      <c r="P183" t="b">
        <v>1</v>
      </c>
    </row>
    <row r="184" spans="1:16" x14ac:dyDescent="0.45">
      <c r="A184" t="s">
        <v>311</v>
      </c>
      <c r="B184" s="2">
        <v>6000161</v>
      </c>
      <c r="D184" t="s">
        <v>34</v>
      </c>
      <c r="F184" t="s">
        <v>42</v>
      </c>
      <c r="G184" t="s">
        <v>47</v>
      </c>
      <c r="H184" s="1">
        <v>230</v>
      </c>
      <c r="I184" s="6">
        <v>324</v>
      </c>
      <c r="J184" s="6">
        <v>324</v>
      </c>
      <c r="K184" s="6">
        <v>243.8</v>
      </c>
      <c r="L184">
        <v>8</v>
      </c>
      <c r="M184">
        <v>0</v>
      </c>
      <c r="N184" t="b">
        <v>0</v>
      </c>
      <c r="O184" t="b">
        <v>0</v>
      </c>
      <c r="P184" t="b">
        <v>1</v>
      </c>
    </row>
    <row r="185" spans="1:16" x14ac:dyDescent="0.45">
      <c r="A185" t="s">
        <v>312</v>
      </c>
      <c r="B185" s="2">
        <v>3000733</v>
      </c>
      <c r="D185" t="s">
        <v>34</v>
      </c>
      <c r="F185" t="s">
        <v>35</v>
      </c>
      <c r="G185" t="s">
        <v>154</v>
      </c>
      <c r="H185" s="1">
        <v>11.7925</v>
      </c>
      <c r="I185" s="6">
        <v>11.46</v>
      </c>
      <c r="J185" s="6">
        <v>11.46</v>
      </c>
      <c r="K185" s="6">
        <v>12.50005</v>
      </c>
      <c r="L185">
        <v>8</v>
      </c>
      <c r="M185">
        <v>0</v>
      </c>
      <c r="N185" t="b">
        <v>0</v>
      </c>
      <c r="O185" t="b">
        <v>0</v>
      </c>
      <c r="P185" t="b">
        <v>1</v>
      </c>
    </row>
    <row r="186" spans="1:16" x14ac:dyDescent="0.45">
      <c r="A186" t="s">
        <v>313</v>
      </c>
      <c r="B186" s="2">
        <v>237</v>
      </c>
      <c r="D186" t="s">
        <v>41</v>
      </c>
      <c r="F186" t="s">
        <v>42</v>
      </c>
      <c r="G186" t="s">
        <v>47</v>
      </c>
      <c r="H186" s="1">
        <v>220.31</v>
      </c>
      <c r="I186" s="6">
        <v>425</v>
      </c>
      <c r="J186" s="6">
        <v>425</v>
      </c>
      <c r="K186" s="6">
        <v>233.52860000000001</v>
      </c>
      <c r="L186">
        <v>8</v>
      </c>
      <c r="M186">
        <v>0</v>
      </c>
      <c r="N186" t="b">
        <v>0</v>
      </c>
      <c r="O186" t="b">
        <v>0</v>
      </c>
      <c r="P186" t="b">
        <v>1</v>
      </c>
    </row>
    <row r="187" spans="1:16" x14ac:dyDescent="0.45">
      <c r="A187" t="s">
        <v>314</v>
      </c>
      <c r="B187" s="2">
        <v>1021191</v>
      </c>
      <c r="D187" t="s">
        <v>41</v>
      </c>
      <c r="F187" t="s">
        <v>42</v>
      </c>
      <c r="G187" t="s">
        <v>47</v>
      </c>
      <c r="H187" s="1">
        <v>65.86018</v>
      </c>
      <c r="I187" s="6">
        <v>130</v>
      </c>
      <c r="J187" s="6">
        <v>130</v>
      </c>
      <c r="K187" s="6">
        <v>69.811790799999997</v>
      </c>
      <c r="L187">
        <v>8</v>
      </c>
      <c r="M187">
        <v>50</v>
      </c>
      <c r="N187" t="b">
        <v>0</v>
      </c>
      <c r="O187" t="b">
        <v>0</v>
      </c>
      <c r="P187" t="b">
        <v>1</v>
      </c>
    </row>
    <row r="188" spans="1:16" x14ac:dyDescent="0.45">
      <c r="A188" t="s">
        <v>315</v>
      </c>
      <c r="B188" s="2">
        <v>6000056</v>
      </c>
      <c r="D188" t="s">
        <v>34</v>
      </c>
      <c r="F188" t="s">
        <v>51</v>
      </c>
      <c r="G188" t="s">
        <v>65</v>
      </c>
      <c r="H188" s="1">
        <v>60.185000000000002</v>
      </c>
      <c r="I188" s="6">
        <v>10.8</v>
      </c>
      <c r="J188" s="6">
        <v>10.8</v>
      </c>
      <c r="K188" s="6">
        <v>63.796100000000003</v>
      </c>
      <c r="L188">
        <v>8</v>
      </c>
      <c r="M188">
        <v>0</v>
      </c>
      <c r="N188" t="b">
        <v>0</v>
      </c>
      <c r="O188" t="b">
        <v>0</v>
      </c>
      <c r="P188" t="b">
        <v>1</v>
      </c>
    </row>
    <row r="189" spans="1:16" x14ac:dyDescent="0.45">
      <c r="A189" t="s">
        <v>316</v>
      </c>
      <c r="B189" s="2">
        <v>6000204</v>
      </c>
      <c r="D189" t="s">
        <v>34</v>
      </c>
      <c r="F189" t="s">
        <v>38</v>
      </c>
      <c r="G189" t="s">
        <v>317</v>
      </c>
      <c r="H189" s="1">
        <v>54.012500000000003</v>
      </c>
      <c r="I189" s="6">
        <v>85</v>
      </c>
      <c r="J189" s="6">
        <v>85</v>
      </c>
      <c r="K189" s="6">
        <v>57.253250000000001</v>
      </c>
      <c r="L189">
        <v>8</v>
      </c>
      <c r="M189">
        <v>0</v>
      </c>
      <c r="N189" t="b">
        <v>0</v>
      </c>
      <c r="O189" t="b">
        <v>0</v>
      </c>
      <c r="P189" t="b">
        <v>1</v>
      </c>
    </row>
    <row r="190" spans="1:16" x14ac:dyDescent="0.45">
      <c r="A190" t="s">
        <v>318</v>
      </c>
      <c r="B190" s="2">
        <v>3003086</v>
      </c>
      <c r="D190" t="s">
        <v>41</v>
      </c>
      <c r="F190" t="s">
        <v>35</v>
      </c>
      <c r="G190" t="s">
        <v>319</v>
      </c>
      <c r="H190" s="1">
        <v>8.6557600000000008</v>
      </c>
      <c r="I190" s="6">
        <v>12.5</v>
      </c>
      <c r="J190" s="6">
        <v>12.5</v>
      </c>
      <c r="K190" s="6">
        <v>9.1751056000000002</v>
      </c>
      <c r="L190">
        <v>8</v>
      </c>
      <c r="M190">
        <v>0</v>
      </c>
      <c r="N190" t="b">
        <v>0</v>
      </c>
      <c r="O190" t="b">
        <v>0</v>
      </c>
      <c r="P190" t="b">
        <v>1</v>
      </c>
    </row>
    <row r="191" spans="1:16" x14ac:dyDescent="0.45">
      <c r="A191" t="s">
        <v>320</v>
      </c>
      <c r="B191" s="2">
        <v>6000057</v>
      </c>
      <c r="D191" t="s">
        <v>34</v>
      </c>
      <c r="F191" t="s">
        <v>42</v>
      </c>
      <c r="G191" t="s">
        <v>95</v>
      </c>
      <c r="H191" s="1">
        <v>84.876559999999998</v>
      </c>
      <c r="I191" s="6">
        <v>120.3704</v>
      </c>
      <c r="J191" s="6">
        <v>111.11</v>
      </c>
      <c r="K191" s="6">
        <v>89.969153599999999</v>
      </c>
      <c r="L191">
        <v>8</v>
      </c>
      <c r="M191">
        <v>0</v>
      </c>
      <c r="N191" t="b">
        <v>0</v>
      </c>
      <c r="O191" t="b">
        <v>0</v>
      </c>
      <c r="P191" t="b">
        <v>1</v>
      </c>
    </row>
    <row r="192" spans="1:16" x14ac:dyDescent="0.45">
      <c r="A192" t="s">
        <v>321</v>
      </c>
      <c r="B192" s="2">
        <v>461</v>
      </c>
      <c r="D192" t="s">
        <v>41</v>
      </c>
      <c r="F192" t="s">
        <v>159</v>
      </c>
      <c r="G192" t="s">
        <v>322</v>
      </c>
      <c r="H192" s="1">
        <v>79.45</v>
      </c>
      <c r="I192" s="6">
        <v>185.18520000000001</v>
      </c>
      <c r="J192" s="6">
        <v>181.333</v>
      </c>
      <c r="K192" s="6">
        <v>84.216999999999999</v>
      </c>
      <c r="L192">
        <v>8</v>
      </c>
      <c r="M192">
        <v>60</v>
      </c>
      <c r="N192" t="b">
        <v>0</v>
      </c>
      <c r="O192" t="b">
        <v>0</v>
      </c>
      <c r="P192" t="b">
        <v>1</v>
      </c>
    </row>
    <row r="193" spans="1:16" x14ac:dyDescent="0.45">
      <c r="A193" t="s">
        <v>323</v>
      </c>
      <c r="B193" s="2">
        <v>3000238</v>
      </c>
      <c r="D193" t="s">
        <v>41</v>
      </c>
      <c r="F193" t="s">
        <v>159</v>
      </c>
      <c r="G193" t="s">
        <v>324</v>
      </c>
      <c r="H193" s="1">
        <v>151.16999999999999</v>
      </c>
      <c r="I193" s="6">
        <v>296.29629999999997</v>
      </c>
      <c r="J193" s="6">
        <v>280.86</v>
      </c>
      <c r="K193" s="6">
        <v>160.24019999999999</v>
      </c>
      <c r="L193">
        <v>8</v>
      </c>
      <c r="M193">
        <v>60</v>
      </c>
      <c r="N193" t="b">
        <v>0</v>
      </c>
      <c r="O193" t="b">
        <v>0</v>
      </c>
      <c r="P193" t="b">
        <v>1</v>
      </c>
    </row>
    <row r="194" spans="1:16" x14ac:dyDescent="0.45">
      <c r="A194" t="s">
        <v>325</v>
      </c>
      <c r="B194" s="2">
        <v>3000276</v>
      </c>
      <c r="D194" t="s">
        <v>41</v>
      </c>
      <c r="F194" t="s">
        <v>159</v>
      </c>
      <c r="G194" t="s">
        <v>326</v>
      </c>
      <c r="H194" s="1">
        <v>79.680000000000007</v>
      </c>
      <c r="I194" s="6">
        <v>185.18520000000001</v>
      </c>
      <c r="J194" s="6">
        <v>181.333</v>
      </c>
      <c r="K194" s="6">
        <v>84.460800000000006</v>
      </c>
      <c r="L194">
        <v>8</v>
      </c>
      <c r="M194">
        <v>60</v>
      </c>
      <c r="N194" t="b">
        <v>0</v>
      </c>
      <c r="O194" t="b">
        <v>0</v>
      </c>
      <c r="P194" t="b">
        <v>1</v>
      </c>
    </row>
    <row r="195" spans="1:16" x14ac:dyDescent="0.45">
      <c r="A195" t="s">
        <v>327</v>
      </c>
      <c r="B195" s="2">
        <v>6000184</v>
      </c>
      <c r="D195" t="s">
        <v>34</v>
      </c>
      <c r="F195" t="s">
        <v>38</v>
      </c>
      <c r="G195" t="s">
        <v>328</v>
      </c>
      <c r="H195" s="1">
        <v>79.45</v>
      </c>
      <c r="I195" s="6">
        <v>324</v>
      </c>
      <c r="J195" s="6">
        <v>324</v>
      </c>
      <c r="K195" s="6">
        <v>84.216999999999999</v>
      </c>
      <c r="L195">
        <v>8</v>
      </c>
      <c r="M195">
        <v>0</v>
      </c>
      <c r="N195" t="b">
        <v>0</v>
      </c>
      <c r="O195" t="b">
        <v>0</v>
      </c>
      <c r="P195" t="b">
        <v>1</v>
      </c>
    </row>
    <row r="196" spans="1:16" x14ac:dyDescent="0.45">
      <c r="A196" t="s">
        <v>329</v>
      </c>
      <c r="B196" s="2">
        <v>6000160</v>
      </c>
      <c r="D196" t="s">
        <v>34</v>
      </c>
      <c r="F196" t="s">
        <v>35</v>
      </c>
      <c r="G196" t="s">
        <v>330</v>
      </c>
      <c r="H196" s="1">
        <v>15.88194</v>
      </c>
      <c r="I196" s="6">
        <v>14.0625</v>
      </c>
      <c r="J196" s="6">
        <v>14.0625</v>
      </c>
      <c r="K196" s="6">
        <v>16.8348564</v>
      </c>
      <c r="L196">
        <v>0</v>
      </c>
      <c r="M196">
        <v>0</v>
      </c>
      <c r="N196" t="b">
        <v>0</v>
      </c>
      <c r="O196" t="b">
        <v>0</v>
      </c>
      <c r="P196" t="b">
        <v>1</v>
      </c>
    </row>
    <row r="197" spans="1:16" x14ac:dyDescent="0.45">
      <c r="A197" t="s">
        <v>331</v>
      </c>
      <c r="B197" s="2">
        <v>1009414</v>
      </c>
      <c r="D197" t="s">
        <v>170</v>
      </c>
      <c r="F197" t="s">
        <v>42</v>
      </c>
      <c r="G197" t="s">
        <v>68</v>
      </c>
      <c r="H197" s="1">
        <v>78.14</v>
      </c>
      <c r="I197" s="6">
        <v>152</v>
      </c>
      <c r="J197" s="6">
        <v>152</v>
      </c>
      <c r="K197" s="6">
        <v>82.828400000000002</v>
      </c>
      <c r="L197">
        <v>8</v>
      </c>
      <c r="M197">
        <v>20</v>
      </c>
      <c r="N197" t="b">
        <v>0</v>
      </c>
      <c r="O197" t="b">
        <v>0</v>
      </c>
      <c r="P197" t="b">
        <v>1</v>
      </c>
    </row>
    <row r="198" spans="1:16" x14ac:dyDescent="0.45">
      <c r="A198" t="s">
        <v>332</v>
      </c>
      <c r="B198" s="2">
        <v>3003210</v>
      </c>
      <c r="D198" t="s">
        <v>170</v>
      </c>
      <c r="F198" t="s">
        <v>42</v>
      </c>
      <c r="G198" t="s">
        <v>68</v>
      </c>
      <c r="H198" s="1">
        <v>70.467140000000001</v>
      </c>
      <c r="I198" s="6">
        <v>136</v>
      </c>
      <c r="J198" s="6">
        <v>136</v>
      </c>
      <c r="K198" s="6">
        <v>74.6951684</v>
      </c>
      <c r="L198">
        <v>8</v>
      </c>
      <c r="M198">
        <v>20</v>
      </c>
      <c r="N198" t="b">
        <v>0</v>
      </c>
      <c r="O198" t="b">
        <v>0</v>
      </c>
      <c r="P198" t="b">
        <v>1</v>
      </c>
    </row>
    <row r="199" spans="1:16" x14ac:dyDescent="0.45">
      <c r="A199" t="s">
        <v>333</v>
      </c>
      <c r="B199" s="2" t="s">
        <v>334</v>
      </c>
      <c r="D199" t="s">
        <v>50</v>
      </c>
      <c r="F199" t="s">
        <v>51</v>
      </c>
      <c r="G199" t="s">
        <v>335</v>
      </c>
      <c r="H199" s="1">
        <v>9.7756900000000009</v>
      </c>
      <c r="I199" s="6">
        <v>15.12</v>
      </c>
      <c r="J199" s="6">
        <v>15.12</v>
      </c>
      <c r="K199" s="6">
        <v>10.362231400000001</v>
      </c>
      <c r="L199">
        <v>8</v>
      </c>
      <c r="M199">
        <v>0</v>
      </c>
      <c r="N199" t="b">
        <v>0</v>
      </c>
      <c r="O199" t="b">
        <v>0</v>
      </c>
      <c r="P199" t="b">
        <v>1</v>
      </c>
    </row>
    <row r="200" spans="1:16" x14ac:dyDescent="0.45">
      <c r="A200" t="s">
        <v>336</v>
      </c>
      <c r="B200" s="2">
        <v>1009364</v>
      </c>
      <c r="D200" t="s">
        <v>41</v>
      </c>
      <c r="F200" t="s">
        <v>51</v>
      </c>
      <c r="G200" t="s">
        <v>337</v>
      </c>
      <c r="H200" s="1">
        <v>319.41829000000001</v>
      </c>
      <c r="I200" s="6">
        <v>485</v>
      </c>
      <c r="J200" s="6">
        <v>480</v>
      </c>
      <c r="K200" s="6">
        <v>338.58338739999999</v>
      </c>
      <c r="L200">
        <v>0</v>
      </c>
      <c r="M200">
        <v>30</v>
      </c>
      <c r="N200" t="b">
        <v>0</v>
      </c>
      <c r="O200" t="b">
        <v>0</v>
      </c>
      <c r="P200" t="b">
        <v>1</v>
      </c>
    </row>
    <row r="201" spans="1:16" x14ac:dyDescent="0.45">
      <c r="A201" t="s">
        <v>338</v>
      </c>
      <c r="B201" s="2">
        <v>6000058</v>
      </c>
      <c r="D201" t="s">
        <v>34</v>
      </c>
      <c r="F201" t="s">
        <v>339</v>
      </c>
      <c r="G201" t="s">
        <v>337</v>
      </c>
      <c r="H201" s="1">
        <v>518.16963999999996</v>
      </c>
      <c r="I201" s="6">
        <v>600</v>
      </c>
      <c r="J201" s="6">
        <v>600</v>
      </c>
      <c r="K201" s="6">
        <v>549.25981839999997</v>
      </c>
      <c r="L201">
        <v>0</v>
      </c>
      <c r="M201">
        <v>0</v>
      </c>
      <c r="N201" t="b">
        <v>0</v>
      </c>
      <c r="O201" t="b">
        <v>0</v>
      </c>
      <c r="P201" t="b">
        <v>1</v>
      </c>
    </row>
    <row r="202" spans="1:16" x14ac:dyDescent="0.45">
      <c r="A202" t="s">
        <v>340</v>
      </c>
      <c r="B202" s="2">
        <v>6000059</v>
      </c>
      <c r="D202" t="s">
        <v>34</v>
      </c>
      <c r="F202" t="s">
        <v>35</v>
      </c>
      <c r="G202" t="s">
        <v>341</v>
      </c>
      <c r="H202" s="1">
        <v>14</v>
      </c>
      <c r="I202" s="6">
        <v>20</v>
      </c>
      <c r="J202" s="6">
        <v>20</v>
      </c>
      <c r="K202" s="6">
        <v>14.84</v>
      </c>
      <c r="L202">
        <v>8</v>
      </c>
      <c r="M202">
        <v>0</v>
      </c>
      <c r="N202" t="b">
        <v>0</v>
      </c>
      <c r="O202" t="b">
        <v>0</v>
      </c>
      <c r="P202" t="b">
        <v>1</v>
      </c>
    </row>
    <row r="203" spans="1:16" x14ac:dyDescent="0.45">
      <c r="A203" t="s">
        <v>342</v>
      </c>
      <c r="B203" s="2">
        <v>1006722</v>
      </c>
      <c r="D203" t="s">
        <v>41</v>
      </c>
      <c r="F203" t="s">
        <v>38</v>
      </c>
      <c r="G203" t="s">
        <v>343</v>
      </c>
      <c r="H203" s="1">
        <v>12.55</v>
      </c>
      <c r="I203" s="6">
        <v>23.75</v>
      </c>
      <c r="J203" s="6">
        <v>23.75</v>
      </c>
      <c r="K203" s="6">
        <v>13.303000000000001</v>
      </c>
      <c r="L203">
        <v>8</v>
      </c>
      <c r="M203">
        <v>120</v>
      </c>
      <c r="N203" t="b">
        <v>0</v>
      </c>
      <c r="O203" t="b">
        <v>0</v>
      </c>
      <c r="P203" t="b">
        <v>1</v>
      </c>
    </row>
    <row r="204" spans="1:16" x14ac:dyDescent="0.45">
      <c r="A204" t="s">
        <v>344</v>
      </c>
      <c r="B204" s="2">
        <v>6000060</v>
      </c>
      <c r="D204" t="s">
        <v>34</v>
      </c>
      <c r="F204" t="s">
        <v>38</v>
      </c>
      <c r="G204" t="s">
        <v>345</v>
      </c>
      <c r="H204" s="1">
        <v>20.254629999999999</v>
      </c>
      <c r="I204" s="6">
        <v>32.5</v>
      </c>
      <c r="J204" s="6">
        <v>30.09</v>
      </c>
      <c r="K204" s="6">
        <v>21.469907800000001</v>
      </c>
      <c r="L204">
        <v>8</v>
      </c>
      <c r="M204">
        <v>0</v>
      </c>
      <c r="N204" t="b">
        <v>0</v>
      </c>
      <c r="O204" t="b">
        <v>0</v>
      </c>
      <c r="P204" t="b">
        <v>1</v>
      </c>
    </row>
    <row r="205" spans="1:16" x14ac:dyDescent="0.45">
      <c r="A205" t="s">
        <v>346</v>
      </c>
      <c r="B205" s="2">
        <v>3000731</v>
      </c>
      <c r="D205" t="s">
        <v>41</v>
      </c>
      <c r="F205" t="s">
        <v>159</v>
      </c>
      <c r="G205" t="s">
        <v>347</v>
      </c>
      <c r="H205" s="1">
        <v>96.78</v>
      </c>
      <c r="I205" s="6">
        <v>160</v>
      </c>
      <c r="J205" s="6">
        <v>160</v>
      </c>
      <c r="K205" s="6">
        <v>102.5868</v>
      </c>
      <c r="L205">
        <v>0</v>
      </c>
      <c r="M205">
        <v>30</v>
      </c>
      <c r="N205" t="b">
        <v>0</v>
      </c>
      <c r="O205" t="b">
        <v>0</v>
      </c>
      <c r="P205" t="b">
        <v>1</v>
      </c>
    </row>
    <row r="206" spans="1:16" x14ac:dyDescent="0.45">
      <c r="A206" t="s">
        <v>348</v>
      </c>
      <c r="B206" s="2">
        <v>6000061</v>
      </c>
      <c r="D206" t="s">
        <v>34</v>
      </c>
      <c r="F206" t="s">
        <v>159</v>
      </c>
      <c r="G206" t="s">
        <v>349</v>
      </c>
      <c r="H206" s="1">
        <v>68.333330000000004</v>
      </c>
      <c r="I206" s="6">
        <v>90</v>
      </c>
      <c r="J206" s="6">
        <v>90</v>
      </c>
      <c r="K206" s="6">
        <v>72.433329799999996</v>
      </c>
      <c r="L206">
        <v>0</v>
      </c>
      <c r="M206">
        <v>0</v>
      </c>
      <c r="N206" t="b">
        <v>0</v>
      </c>
      <c r="O206" t="b">
        <v>0</v>
      </c>
      <c r="P206" t="b">
        <v>1</v>
      </c>
    </row>
    <row r="207" spans="1:16" x14ac:dyDescent="0.45">
      <c r="A207" t="s">
        <v>350</v>
      </c>
      <c r="B207" s="2">
        <v>1007849</v>
      </c>
      <c r="D207" t="s">
        <v>67</v>
      </c>
      <c r="F207" t="s">
        <v>42</v>
      </c>
      <c r="G207" t="s">
        <v>60</v>
      </c>
      <c r="H207" s="1">
        <v>19.010000000000002</v>
      </c>
      <c r="I207" s="6">
        <v>60.185189999999999</v>
      </c>
      <c r="J207" s="6">
        <v>55.56</v>
      </c>
      <c r="K207" s="6">
        <v>20.150600000000001</v>
      </c>
      <c r="L207">
        <v>8</v>
      </c>
      <c r="M207">
        <v>50</v>
      </c>
      <c r="N207" t="b">
        <v>0</v>
      </c>
      <c r="O207" t="b">
        <v>0</v>
      </c>
      <c r="P207" t="b">
        <v>1</v>
      </c>
    </row>
    <row r="208" spans="1:16" x14ac:dyDescent="0.45">
      <c r="A208" t="s">
        <v>351</v>
      </c>
      <c r="B208" s="2">
        <v>6000062</v>
      </c>
      <c r="D208" t="s">
        <v>34</v>
      </c>
      <c r="F208" t="s">
        <v>42</v>
      </c>
      <c r="G208" t="s">
        <v>47</v>
      </c>
      <c r="H208" s="1">
        <v>18.082999999999998</v>
      </c>
      <c r="I208" s="6">
        <v>120</v>
      </c>
      <c r="J208" s="6">
        <v>120</v>
      </c>
      <c r="K208" s="6">
        <v>19.16798</v>
      </c>
      <c r="L208">
        <v>0</v>
      </c>
      <c r="M208">
        <v>0</v>
      </c>
      <c r="N208" t="b">
        <v>0</v>
      </c>
      <c r="O208" t="b">
        <v>0</v>
      </c>
      <c r="P208" t="b">
        <v>1</v>
      </c>
    </row>
    <row r="209" spans="1:16" x14ac:dyDescent="0.45">
      <c r="A209" t="s">
        <v>352</v>
      </c>
      <c r="B209" s="2">
        <v>1007499</v>
      </c>
      <c r="D209" t="s">
        <v>41</v>
      </c>
      <c r="F209" t="s">
        <v>42</v>
      </c>
      <c r="G209" t="s">
        <v>47</v>
      </c>
      <c r="H209" s="1">
        <v>32.563000000000002</v>
      </c>
      <c r="I209" s="6">
        <v>65</v>
      </c>
      <c r="J209" s="6">
        <v>60</v>
      </c>
      <c r="K209" s="6">
        <v>34.516779999999997</v>
      </c>
      <c r="L209">
        <v>0</v>
      </c>
      <c r="M209">
        <v>0</v>
      </c>
      <c r="N209" t="b">
        <v>0</v>
      </c>
      <c r="O209" t="b">
        <v>0</v>
      </c>
      <c r="P209" t="b">
        <v>1</v>
      </c>
    </row>
    <row r="210" spans="1:16" x14ac:dyDescent="0.45">
      <c r="A210" t="s">
        <v>353</v>
      </c>
      <c r="B210" s="2">
        <v>3003199</v>
      </c>
      <c r="D210" t="s">
        <v>41</v>
      </c>
      <c r="F210" t="s">
        <v>42</v>
      </c>
      <c r="G210" t="s">
        <v>47</v>
      </c>
      <c r="H210" s="1">
        <v>27.48</v>
      </c>
      <c r="I210" s="6">
        <v>50</v>
      </c>
      <c r="J210" s="6">
        <v>50</v>
      </c>
      <c r="K210" s="6">
        <v>29.128799999999998</v>
      </c>
      <c r="L210">
        <v>0</v>
      </c>
      <c r="M210">
        <v>0</v>
      </c>
      <c r="N210" t="b">
        <v>0</v>
      </c>
      <c r="O210" t="b">
        <v>0</v>
      </c>
      <c r="P210" t="b">
        <v>1</v>
      </c>
    </row>
    <row r="211" spans="1:16" x14ac:dyDescent="0.45">
      <c r="A211" t="s">
        <v>354</v>
      </c>
      <c r="B211" s="2">
        <v>1009792</v>
      </c>
      <c r="D211" t="s">
        <v>41</v>
      </c>
      <c r="E211" s="5" t="s">
        <v>1077</v>
      </c>
      <c r="F211" t="s">
        <v>38</v>
      </c>
      <c r="G211" t="s">
        <v>355</v>
      </c>
      <c r="H211" s="1">
        <v>17.095939999999999</v>
      </c>
      <c r="I211" s="6">
        <v>37.037039999999998</v>
      </c>
      <c r="J211" s="6">
        <v>32.409999999999997</v>
      </c>
      <c r="K211" s="6">
        <v>18.121696400000001</v>
      </c>
      <c r="L211">
        <v>8</v>
      </c>
      <c r="M211">
        <v>100</v>
      </c>
      <c r="N211" t="b">
        <v>0</v>
      </c>
      <c r="O211" t="b">
        <v>0</v>
      </c>
      <c r="P211" t="b">
        <v>1</v>
      </c>
    </row>
    <row r="212" spans="1:16" x14ac:dyDescent="0.45">
      <c r="A212" t="s">
        <v>356</v>
      </c>
      <c r="B212" s="2">
        <v>3000495</v>
      </c>
      <c r="D212" t="s">
        <v>357</v>
      </c>
      <c r="F212" t="s">
        <v>42</v>
      </c>
      <c r="G212" t="s">
        <v>47</v>
      </c>
      <c r="H212" s="1">
        <v>54.87</v>
      </c>
      <c r="I212" s="6">
        <v>75.599999999999994</v>
      </c>
      <c r="J212" s="6">
        <v>75.599999999999994</v>
      </c>
      <c r="K212" s="6">
        <v>58.162199999999999</v>
      </c>
      <c r="L212">
        <v>8</v>
      </c>
      <c r="M212">
        <v>0</v>
      </c>
      <c r="N212" t="b">
        <v>0</v>
      </c>
      <c r="O212" t="b">
        <v>0</v>
      </c>
      <c r="P212" t="b">
        <v>1</v>
      </c>
    </row>
    <row r="213" spans="1:16" x14ac:dyDescent="0.45">
      <c r="A213" t="s">
        <v>358</v>
      </c>
      <c r="B213" s="2">
        <v>6000158</v>
      </c>
      <c r="D213" t="s">
        <v>34</v>
      </c>
      <c r="F213" t="s">
        <v>38</v>
      </c>
      <c r="G213" t="s">
        <v>359</v>
      </c>
      <c r="H213" s="1">
        <v>138.88999999999999</v>
      </c>
      <c r="I213" s="6">
        <v>162</v>
      </c>
      <c r="J213" s="6">
        <v>162</v>
      </c>
      <c r="K213" s="6">
        <v>147.2234</v>
      </c>
      <c r="L213">
        <v>8</v>
      </c>
      <c r="M213">
        <v>0</v>
      </c>
      <c r="N213" t="b">
        <v>0</v>
      </c>
      <c r="O213" t="b">
        <v>0</v>
      </c>
      <c r="P213" t="b">
        <v>1</v>
      </c>
    </row>
    <row r="214" spans="1:16" x14ac:dyDescent="0.45">
      <c r="A214" t="s">
        <v>360</v>
      </c>
      <c r="B214" s="2">
        <v>6000159</v>
      </c>
      <c r="D214" t="s">
        <v>34</v>
      </c>
      <c r="F214" t="s">
        <v>38</v>
      </c>
      <c r="G214" t="s">
        <v>361</v>
      </c>
      <c r="H214" s="1">
        <v>190</v>
      </c>
      <c r="I214" s="6">
        <v>250</v>
      </c>
      <c r="J214" s="6">
        <v>250</v>
      </c>
      <c r="K214" s="6">
        <v>201.4</v>
      </c>
      <c r="L214">
        <v>8</v>
      </c>
      <c r="M214">
        <v>0</v>
      </c>
      <c r="N214" t="b">
        <v>0</v>
      </c>
      <c r="O214" t="b">
        <v>0</v>
      </c>
      <c r="P214" t="b">
        <v>1</v>
      </c>
    </row>
    <row r="215" spans="1:16" x14ac:dyDescent="0.45">
      <c r="A215" t="s">
        <v>362</v>
      </c>
      <c r="B215" s="2">
        <v>3000697</v>
      </c>
      <c r="D215" t="s">
        <v>41</v>
      </c>
      <c r="F215" t="s">
        <v>35</v>
      </c>
      <c r="G215" t="s">
        <v>341</v>
      </c>
      <c r="H215" s="1">
        <v>13.06</v>
      </c>
      <c r="I215" s="6">
        <v>19.170000000000002</v>
      </c>
      <c r="J215" s="6">
        <v>19.170000000000002</v>
      </c>
      <c r="K215" s="6">
        <v>13.8436</v>
      </c>
      <c r="L215">
        <v>8</v>
      </c>
      <c r="M215">
        <v>0</v>
      </c>
      <c r="N215" t="b">
        <v>0</v>
      </c>
      <c r="O215" t="b">
        <v>0</v>
      </c>
      <c r="P215" t="b">
        <v>1</v>
      </c>
    </row>
    <row r="216" spans="1:16" x14ac:dyDescent="0.45">
      <c r="A216" t="s">
        <v>363</v>
      </c>
      <c r="B216" s="2">
        <v>3003146</v>
      </c>
      <c r="D216" t="s">
        <v>364</v>
      </c>
      <c r="F216" t="s">
        <v>38</v>
      </c>
      <c r="G216" t="s">
        <v>254</v>
      </c>
      <c r="H216" s="1">
        <v>84.69</v>
      </c>
      <c r="I216" s="6">
        <v>162</v>
      </c>
      <c r="J216" s="6">
        <v>162</v>
      </c>
      <c r="K216" s="6">
        <v>89.7714</v>
      </c>
      <c r="L216">
        <v>8</v>
      </c>
      <c r="M216">
        <v>20</v>
      </c>
      <c r="N216" t="b">
        <v>0</v>
      </c>
      <c r="O216" t="b">
        <v>0</v>
      </c>
      <c r="P216" t="b">
        <v>1</v>
      </c>
    </row>
    <row r="217" spans="1:16" x14ac:dyDescent="0.45">
      <c r="A217" t="s">
        <v>365</v>
      </c>
      <c r="B217" s="2">
        <v>3003145</v>
      </c>
      <c r="D217" t="s">
        <v>364</v>
      </c>
      <c r="F217" t="s">
        <v>38</v>
      </c>
      <c r="G217" t="s">
        <v>254</v>
      </c>
      <c r="H217" s="1">
        <v>78.95</v>
      </c>
      <c r="I217" s="6">
        <v>162</v>
      </c>
      <c r="J217" s="6">
        <v>162</v>
      </c>
      <c r="K217" s="6">
        <v>83.686999999999998</v>
      </c>
      <c r="L217">
        <v>8</v>
      </c>
      <c r="M217">
        <v>20</v>
      </c>
      <c r="N217" t="b">
        <v>0</v>
      </c>
      <c r="O217" t="b">
        <v>0</v>
      </c>
      <c r="P217" t="b">
        <v>1</v>
      </c>
    </row>
    <row r="218" spans="1:16" x14ac:dyDescent="0.45">
      <c r="A218" t="s">
        <v>366</v>
      </c>
      <c r="B218" s="2">
        <v>3003144</v>
      </c>
      <c r="D218" t="s">
        <v>364</v>
      </c>
      <c r="F218" t="s">
        <v>51</v>
      </c>
      <c r="G218" t="s">
        <v>367</v>
      </c>
      <c r="H218" s="1">
        <v>80.569999999999993</v>
      </c>
      <c r="I218" s="6">
        <v>152.77780000000001</v>
      </c>
      <c r="J218" s="6">
        <v>150</v>
      </c>
      <c r="K218" s="6">
        <v>85.404200000000003</v>
      </c>
      <c r="L218">
        <v>8</v>
      </c>
      <c r="M218">
        <v>10</v>
      </c>
      <c r="N218" t="b">
        <v>0</v>
      </c>
      <c r="O218" t="b">
        <v>0</v>
      </c>
      <c r="P218" t="b">
        <v>1</v>
      </c>
    </row>
    <row r="219" spans="1:16" x14ac:dyDescent="0.45">
      <c r="A219" t="s">
        <v>368</v>
      </c>
      <c r="B219" s="2">
        <v>3003496</v>
      </c>
      <c r="D219" t="s">
        <v>364</v>
      </c>
      <c r="F219" t="s">
        <v>51</v>
      </c>
      <c r="G219" t="s">
        <v>369</v>
      </c>
      <c r="H219" s="1">
        <v>25.54</v>
      </c>
      <c r="I219" s="6">
        <v>55.55556</v>
      </c>
      <c r="J219" s="6">
        <v>50.93</v>
      </c>
      <c r="K219" s="6">
        <v>27.072399999999998</v>
      </c>
      <c r="L219">
        <v>8</v>
      </c>
      <c r="M219">
        <v>0</v>
      </c>
      <c r="N219" t="b">
        <v>0</v>
      </c>
      <c r="O219" t="b">
        <v>0</v>
      </c>
      <c r="P219" t="b">
        <v>1</v>
      </c>
    </row>
    <row r="220" spans="1:16" x14ac:dyDescent="0.45">
      <c r="A220" t="s">
        <v>370</v>
      </c>
      <c r="B220" s="2">
        <v>3003147</v>
      </c>
      <c r="D220" t="s">
        <v>364</v>
      </c>
      <c r="F220" t="s">
        <v>38</v>
      </c>
      <c r="G220" t="s">
        <v>68</v>
      </c>
      <c r="H220" s="1">
        <v>79.540000000000006</v>
      </c>
      <c r="I220" s="6">
        <v>162</v>
      </c>
      <c r="J220" s="6">
        <v>162</v>
      </c>
      <c r="K220" s="6">
        <v>84.312399999999997</v>
      </c>
      <c r="L220">
        <v>8</v>
      </c>
      <c r="M220">
        <v>20</v>
      </c>
      <c r="N220" t="b">
        <v>0</v>
      </c>
      <c r="O220" t="b">
        <v>0</v>
      </c>
      <c r="P220" t="b">
        <v>1</v>
      </c>
    </row>
    <row r="221" spans="1:16" x14ac:dyDescent="0.45">
      <c r="A221" t="s">
        <v>371</v>
      </c>
      <c r="B221" s="2">
        <v>6000063</v>
      </c>
      <c r="D221" t="s">
        <v>34</v>
      </c>
      <c r="F221" t="s">
        <v>42</v>
      </c>
      <c r="G221" t="s">
        <v>65</v>
      </c>
      <c r="H221" s="1">
        <v>70</v>
      </c>
      <c r="I221" s="6">
        <v>86.4</v>
      </c>
      <c r="J221" s="6">
        <v>86.4</v>
      </c>
      <c r="K221" s="6">
        <v>74.2</v>
      </c>
      <c r="L221">
        <v>8</v>
      </c>
      <c r="M221">
        <v>0</v>
      </c>
      <c r="N221" t="b">
        <v>0</v>
      </c>
      <c r="O221" t="b">
        <v>0</v>
      </c>
      <c r="P221" t="b">
        <v>1</v>
      </c>
    </row>
    <row r="222" spans="1:16" x14ac:dyDescent="0.45">
      <c r="A222" t="s">
        <v>372</v>
      </c>
      <c r="B222" s="2">
        <v>309</v>
      </c>
      <c r="D222" t="s">
        <v>41</v>
      </c>
      <c r="F222" t="s">
        <v>42</v>
      </c>
      <c r="G222" t="s">
        <v>47</v>
      </c>
      <c r="H222" s="1">
        <v>165</v>
      </c>
      <c r="I222" s="6">
        <v>250</v>
      </c>
      <c r="J222" s="6">
        <v>250</v>
      </c>
      <c r="K222" s="6">
        <v>174.9</v>
      </c>
      <c r="L222">
        <v>0</v>
      </c>
      <c r="M222">
        <v>0</v>
      </c>
      <c r="N222" t="b">
        <v>0</v>
      </c>
      <c r="O222" t="b">
        <v>0</v>
      </c>
      <c r="P222" t="b">
        <v>1</v>
      </c>
    </row>
    <row r="223" spans="1:16" x14ac:dyDescent="0.45">
      <c r="A223" t="s">
        <v>373</v>
      </c>
      <c r="B223" s="2">
        <v>6000064</v>
      </c>
      <c r="D223" t="s">
        <v>34</v>
      </c>
      <c r="F223" t="s">
        <v>42</v>
      </c>
      <c r="G223" t="s">
        <v>47</v>
      </c>
      <c r="H223" s="1">
        <v>130</v>
      </c>
      <c r="I223" s="6">
        <v>250</v>
      </c>
      <c r="J223" s="6">
        <v>250</v>
      </c>
      <c r="K223" s="6">
        <v>137.80000000000001</v>
      </c>
      <c r="L223">
        <v>0</v>
      </c>
      <c r="M223">
        <v>0</v>
      </c>
      <c r="N223" t="b">
        <v>0</v>
      </c>
      <c r="O223" t="b">
        <v>0</v>
      </c>
      <c r="P223" t="b">
        <v>1</v>
      </c>
    </row>
    <row r="224" spans="1:16" x14ac:dyDescent="0.45">
      <c r="A224" t="s">
        <v>374</v>
      </c>
      <c r="B224" s="2">
        <v>502</v>
      </c>
      <c r="D224" t="s">
        <v>41</v>
      </c>
      <c r="F224" t="s">
        <v>42</v>
      </c>
      <c r="G224" t="s">
        <v>47</v>
      </c>
      <c r="H224" s="1">
        <v>76.91</v>
      </c>
      <c r="I224" s="6">
        <v>140</v>
      </c>
      <c r="J224" s="6">
        <v>140</v>
      </c>
      <c r="K224" s="6">
        <v>81.524600000000007</v>
      </c>
      <c r="L224">
        <v>0</v>
      </c>
      <c r="M224">
        <v>0</v>
      </c>
      <c r="N224" t="b">
        <v>0</v>
      </c>
      <c r="O224" t="b">
        <v>0</v>
      </c>
      <c r="P224" t="b">
        <v>1</v>
      </c>
    </row>
    <row r="225" spans="1:16" x14ac:dyDescent="0.45">
      <c r="A225" t="s">
        <v>375</v>
      </c>
      <c r="B225" s="2">
        <v>6000065</v>
      </c>
      <c r="D225" t="s">
        <v>34</v>
      </c>
      <c r="F225" t="s">
        <v>38</v>
      </c>
      <c r="G225" t="s">
        <v>47</v>
      </c>
      <c r="H225" s="1">
        <v>70</v>
      </c>
      <c r="I225" s="6">
        <v>216</v>
      </c>
      <c r="J225" s="6">
        <v>216</v>
      </c>
      <c r="K225" s="6">
        <v>74.2</v>
      </c>
      <c r="L225">
        <v>8</v>
      </c>
      <c r="M225">
        <v>0</v>
      </c>
      <c r="N225" t="b">
        <v>0</v>
      </c>
      <c r="O225" t="b">
        <v>0</v>
      </c>
      <c r="P225" t="b">
        <v>1</v>
      </c>
    </row>
    <row r="226" spans="1:16" x14ac:dyDescent="0.45">
      <c r="A226" t="s">
        <v>376</v>
      </c>
      <c r="B226" s="2">
        <v>564</v>
      </c>
      <c r="D226" t="s">
        <v>41</v>
      </c>
      <c r="F226" t="s">
        <v>35</v>
      </c>
      <c r="G226" t="s">
        <v>377</v>
      </c>
      <c r="H226" s="1">
        <v>12.87</v>
      </c>
      <c r="I226" s="6">
        <v>22</v>
      </c>
      <c r="J226" s="6">
        <v>22</v>
      </c>
      <c r="K226" s="6">
        <v>13.642200000000001</v>
      </c>
      <c r="L226">
        <v>8</v>
      </c>
      <c r="M226">
        <v>60</v>
      </c>
      <c r="N226" t="b">
        <v>0</v>
      </c>
      <c r="O226" t="b">
        <v>0</v>
      </c>
      <c r="P226" t="b">
        <v>1</v>
      </c>
    </row>
    <row r="227" spans="1:16" x14ac:dyDescent="0.45">
      <c r="A227" t="s">
        <v>378</v>
      </c>
      <c r="B227" s="2">
        <v>6000220</v>
      </c>
      <c r="C227" t="s">
        <v>33</v>
      </c>
      <c r="D227" t="s">
        <v>34</v>
      </c>
      <c r="E227" s="5" t="s">
        <v>33</v>
      </c>
      <c r="F227" t="s">
        <v>38</v>
      </c>
      <c r="G227" t="s">
        <v>379</v>
      </c>
      <c r="H227" s="1">
        <v>26.04</v>
      </c>
      <c r="I227" s="6">
        <v>46.296300000000002</v>
      </c>
      <c r="J227" s="6">
        <v>41.67</v>
      </c>
      <c r="K227" s="6">
        <v>41.67</v>
      </c>
      <c r="L227">
        <v>8</v>
      </c>
      <c r="M227">
        <v>0</v>
      </c>
      <c r="N227" t="b">
        <v>0</v>
      </c>
      <c r="O227" t="b">
        <v>0</v>
      </c>
      <c r="P227" t="b">
        <v>1</v>
      </c>
    </row>
    <row r="228" spans="1:16" x14ac:dyDescent="0.45">
      <c r="A228" t="s">
        <v>380</v>
      </c>
      <c r="B228" s="2">
        <v>1017388</v>
      </c>
      <c r="C228" t="s">
        <v>33</v>
      </c>
      <c r="D228" t="s">
        <v>170</v>
      </c>
      <c r="E228" s="5" t="s">
        <v>33</v>
      </c>
      <c r="F228" t="s">
        <v>38</v>
      </c>
      <c r="G228" t="s">
        <v>317</v>
      </c>
      <c r="H228" s="1">
        <v>17.04</v>
      </c>
      <c r="I228" s="6">
        <v>35</v>
      </c>
      <c r="J228" s="6">
        <v>29.17</v>
      </c>
      <c r="K228" s="6">
        <v>18.059999999999999</v>
      </c>
      <c r="L228">
        <v>0</v>
      </c>
      <c r="M228">
        <v>300</v>
      </c>
      <c r="N228" t="b">
        <v>0</v>
      </c>
      <c r="O228" t="b">
        <v>0</v>
      </c>
      <c r="P228" t="b">
        <v>1</v>
      </c>
    </row>
    <row r="229" spans="1:16" x14ac:dyDescent="0.45">
      <c r="A229" t="s">
        <v>381</v>
      </c>
      <c r="B229" s="2">
        <v>3000343</v>
      </c>
      <c r="D229" t="s">
        <v>170</v>
      </c>
      <c r="F229" t="s">
        <v>35</v>
      </c>
      <c r="G229" t="s">
        <v>382</v>
      </c>
      <c r="H229" s="1">
        <v>175.19</v>
      </c>
      <c r="I229" s="6">
        <v>280</v>
      </c>
      <c r="J229" s="6">
        <v>270</v>
      </c>
      <c r="K229" s="6">
        <v>185.70140000000001</v>
      </c>
      <c r="L229">
        <v>0</v>
      </c>
      <c r="M229">
        <v>0</v>
      </c>
      <c r="N229" t="b">
        <v>0</v>
      </c>
      <c r="O229" t="b">
        <v>0</v>
      </c>
      <c r="P229" t="b">
        <v>1</v>
      </c>
    </row>
    <row r="230" spans="1:16" x14ac:dyDescent="0.45">
      <c r="A230" t="s">
        <v>383</v>
      </c>
      <c r="B230" s="2">
        <v>1007418</v>
      </c>
      <c r="D230" t="s">
        <v>170</v>
      </c>
      <c r="F230" t="s">
        <v>38</v>
      </c>
      <c r="G230" t="s">
        <v>317</v>
      </c>
      <c r="H230" s="1">
        <v>20.83333</v>
      </c>
      <c r="I230" s="6">
        <v>30</v>
      </c>
      <c r="J230" s="6">
        <v>30</v>
      </c>
      <c r="K230" s="6">
        <v>22.083329800000001</v>
      </c>
      <c r="L230">
        <v>0</v>
      </c>
      <c r="M230">
        <v>0</v>
      </c>
      <c r="N230" t="b">
        <v>0</v>
      </c>
      <c r="O230" t="b">
        <v>0</v>
      </c>
      <c r="P230" t="b">
        <v>1</v>
      </c>
    </row>
    <row r="231" spans="1:16" x14ac:dyDescent="0.45">
      <c r="A231" t="s">
        <v>384</v>
      </c>
      <c r="B231" s="2">
        <v>3003023</v>
      </c>
      <c r="D231" t="s">
        <v>170</v>
      </c>
      <c r="F231" t="s">
        <v>35</v>
      </c>
      <c r="G231" t="s">
        <v>385</v>
      </c>
      <c r="H231" s="1">
        <v>238.58052000000001</v>
      </c>
      <c r="I231" s="6">
        <v>380</v>
      </c>
      <c r="J231" s="6">
        <v>370</v>
      </c>
      <c r="K231" s="6">
        <v>252.89535119999999</v>
      </c>
      <c r="L231">
        <v>0</v>
      </c>
      <c r="M231">
        <v>0</v>
      </c>
      <c r="N231" t="b">
        <v>0</v>
      </c>
      <c r="O231" t="b">
        <v>0</v>
      </c>
      <c r="P231" t="b">
        <v>1</v>
      </c>
    </row>
    <row r="232" spans="1:16" x14ac:dyDescent="0.45">
      <c r="A232" t="s">
        <v>386</v>
      </c>
      <c r="B232" s="2">
        <v>159</v>
      </c>
      <c r="D232" t="s">
        <v>41</v>
      </c>
      <c r="F232" t="s">
        <v>42</v>
      </c>
      <c r="G232" t="s">
        <v>387</v>
      </c>
      <c r="H232" s="1">
        <v>26.44</v>
      </c>
      <c r="I232" s="6">
        <v>38.21</v>
      </c>
      <c r="J232" s="6">
        <v>38.21</v>
      </c>
      <c r="K232" s="6">
        <v>28.026399999999999</v>
      </c>
      <c r="L232">
        <v>8</v>
      </c>
      <c r="M232">
        <v>0</v>
      </c>
      <c r="N232" t="b">
        <v>0</v>
      </c>
      <c r="O232" t="b">
        <v>0</v>
      </c>
      <c r="P232" t="b">
        <v>1</v>
      </c>
    </row>
    <row r="233" spans="1:16" x14ac:dyDescent="0.45">
      <c r="A233" t="s">
        <v>388</v>
      </c>
      <c r="B233" s="2">
        <v>3003034</v>
      </c>
      <c r="D233" t="s">
        <v>41</v>
      </c>
      <c r="F233" t="s">
        <v>42</v>
      </c>
      <c r="G233" t="s">
        <v>95</v>
      </c>
      <c r="H233" s="1">
        <v>44.661999999999999</v>
      </c>
      <c r="I233" s="6">
        <v>64.81</v>
      </c>
      <c r="J233" s="6">
        <v>64.81</v>
      </c>
      <c r="K233" s="6">
        <v>47.341720000000002</v>
      </c>
      <c r="L233">
        <v>8</v>
      </c>
      <c r="M233">
        <v>50</v>
      </c>
      <c r="N233" t="b">
        <v>0</v>
      </c>
      <c r="O233" t="b">
        <v>0</v>
      </c>
      <c r="P233" t="b">
        <v>1</v>
      </c>
    </row>
    <row r="234" spans="1:16" x14ac:dyDescent="0.45">
      <c r="A234" t="s">
        <v>389</v>
      </c>
      <c r="B234" s="2">
        <v>160</v>
      </c>
      <c r="D234" t="s">
        <v>41</v>
      </c>
      <c r="F234" t="s">
        <v>42</v>
      </c>
      <c r="G234" t="s">
        <v>390</v>
      </c>
      <c r="H234" s="1">
        <v>30.555599999999998</v>
      </c>
      <c r="I234" s="6">
        <v>40.770000000000003</v>
      </c>
      <c r="J234" s="6">
        <v>40.770000000000003</v>
      </c>
      <c r="K234" s="6">
        <v>32.388936000000001</v>
      </c>
      <c r="L234">
        <v>8</v>
      </c>
      <c r="M234">
        <v>0</v>
      </c>
      <c r="N234" t="b">
        <v>0</v>
      </c>
      <c r="O234" t="b">
        <v>0</v>
      </c>
      <c r="P234" t="b">
        <v>1</v>
      </c>
    </row>
    <row r="235" spans="1:16" x14ac:dyDescent="0.45">
      <c r="A235" t="s">
        <v>391</v>
      </c>
      <c r="B235" s="2">
        <v>161</v>
      </c>
      <c r="D235" t="s">
        <v>41</v>
      </c>
      <c r="F235" t="s">
        <v>42</v>
      </c>
      <c r="G235" t="s">
        <v>45</v>
      </c>
      <c r="H235" s="1">
        <v>28.37</v>
      </c>
      <c r="I235" s="6">
        <v>46</v>
      </c>
      <c r="J235" s="6">
        <v>46</v>
      </c>
      <c r="K235" s="6">
        <v>30.072199999999999</v>
      </c>
      <c r="L235">
        <v>8</v>
      </c>
      <c r="M235">
        <v>0</v>
      </c>
      <c r="N235" t="b">
        <v>0</v>
      </c>
      <c r="O235" t="b">
        <v>0</v>
      </c>
      <c r="P235" t="b">
        <v>1</v>
      </c>
    </row>
    <row r="236" spans="1:16" x14ac:dyDescent="0.45">
      <c r="A236" t="s">
        <v>392</v>
      </c>
      <c r="B236" s="2">
        <v>6000066</v>
      </c>
      <c r="D236" t="s">
        <v>34</v>
      </c>
      <c r="F236" t="s">
        <v>38</v>
      </c>
      <c r="G236" t="s">
        <v>393</v>
      </c>
      <c r="H236" s="1">
        <v>185</v>
      </c>
      <c r="I236" s="6">
        <v>270</v>
      </c>
      <c r="J236" s="6">
        <v>270</v>
      </c>
      <c r="K236" s="6">
        <v>196.1</v>
      </c>
      <c r="L236">
        <v>8</v>
      </c>
      <c r="M236">
        <v>0</v>
      </c>
      <c r="N236" t="b">
        <v>0</v>
      </c>
      <c r="O236" t="b">
        <v>0</v>
      </c>
      <c r="P236" t="b">
        <v>1</v>
      </c>
    </row>
    <row r="237" spans="1:16" x14ac:dyDescent="0.45">
      <c r="A237" t="s">
        <v>394</v>
      </c>
      <c r="B237" s="2">
        <v>6000156</v>
      </c>
      <c r="D237" t="s">
        <v>34</v>
      </c>
      <c r="F237" t="s">
        <v>159</v>
      </c>
      <c r="G237" t="s">
        <v>395</v>
      </c>
      <c r="H237" s="1">
        <v>450</v>
      </c>
      <c r="I237" s="6">
        <v>729</v>
      </c>
      <c r="J237" s="6">
        <v>729</v>
      </c>
      <c r="K237" s="6">
        <v>477</v>
      </c>
      <c r="L237">
        <v>8</v>
      </c>
      <c r="M237">
        <v>0</v>
      </c>
      <c r="N237" t="b">
        <v>0</v>
      </c>
      <c r="O237" t="b">
        <v>0</v>
      </c>
      <c r="P237" t="b">
        <v>1</v>
      </c>
    </row>
    <row r="238" spans="1:16" x14ac:dyDescent="0.45">
      <c r="A238" t="s">
        <v>396</v>
      </c>
      <c r="B238" s="2">
        <v>6000181</v>
      </c>
      <c r="D238" t="s">
        <v>34</v>
      </c>
      <c r="F238" t="s">
        <v>35</v>
      </c>
      <c r="G238" t="s">
        <v>154</v>
      </c>
      <c r="H238" s="1">
        <v>12.5</v>
      </c>
      <c r="I238" s="6">
        <v>13.75</v>
      </c>
      <c r="J238" s="6">
        <v>13.75</v>
      </c>
      <c r="K238" s="6">
        <v>13.25</v>
      </c>
      <c r="L238">
        <v>8</v>
      </c>
      <c r="M238">
        <v>0</v>
      </c>
      <c r="N238" t="b">
        <v>0</v>
      </c>
      <c r="O238" t="b">
        <v>0</v>
      </c>
      <c r="P238" t="b">
        <v>1</v>
      </c>
    </row>
    <row r="239" spans="1:16" x14ac:dyDescent="0.45">
      <c r="A239" t="s">
        <v>397</v>
      </c>
      <c r="B239" s="2">
        <v>6000157</v>
      </c>
      <c r="D239" t="s">
        <v>34</v>
      </c>
      <c r="F239" t="s">
        <v>38</v>
      </c>
      <c r="G239" t="s">
        <v>86</v>
      </c>
      <c r="H239" s="1">
        <v>25.465</v>
      </c>
      <c r="I239" s="6">
        <v>180</v>
      </c>
      <c r="J239" s="6">
        <v>180</v>
      </c>
      <c r="K239" s="6">
        <v>26.992899999999999</v>
      </c>
      <c r="L239">
        <v>8</v>
      </c>
      <c r="M239">
        <v>0</v>
      </c>
      <c r="N239" t="b">
        <v>0</v>
      </c>
      <c r="O239" t="b">
        <v>0</v>
      </c>
      <c r="P239" t="b">
        <v>1</v>
      </c>
    </row>
    <row r="240" spans="1:16" x14ac:dyDescent="0.45">
      <c r="A240" t="s">
        <v>398</v>
      </c>
      <c r="B240" s="2">
        <v>1072046</v>
      </c>
      <c r="D240" t="s">
        <v>41</v>
      </c>
      <c r="F240" t="s">
        <v>42</v>
      </c>
      <c r="G240" t="s">
        <v>43</v>
      </c>
      <c r="H240" s="1">
        <v>185.36</v>
      </c>
      <c r="I240" s="6">
        <v>250</v>
      </c>
      <c r="J240" s="6">
        <v>250</v>
      </c>
      <c r="K240" s="6">
        <v>196.48159999999999</v>
      </c>
      <c r="L240">
        <v>8</v>
      </c>
      <c r="M240">
        <v>0</v>
      </c>
      <c r="N240" t="b">
        <v>0</v>
      </c>
      <c r="O240" t="b">
        <v>0</v>
      </c>
      <c r="P240" t="b">
        <v>1</v>
      </c>
    </row>
    <row r="241" spans="1:16" x14ac:dyDescent="0.45">
      <c r="A241" t="s">
        <v>399</v>
      </c>
      <c r="B241" s="2">
        <v>6000216</v>
      </c>
      <c r="D241" t="s">
        <v>34</v>
      </c>
      <c r="F241" t="s">
        <v>42</v>
      </c>
      <c r="G241" t="s">
        <v>47</v>
      </c>
      <c r="H241" s="1">
        <v>350</v>
      </c>
      <c r="I241" s="6">
        <v>540</v>
      </c>
      <c r="J241" s="6">
        <v>540</v>
      </c>
      <c r="K241" s="6">
        <v>371</v>
      </c>
      <c r="L241">
        <v>8</v>
      </c>
      <c r="M241">
        <v>0</v>
      </c>
      <c r="N241" t="b">
        <v>0</v>
      </c>
      <c r="O241" t="b">
        <v>0</v>
      </c>
      <c r="P241" t="b">
        <v>1</v>
      </c>
    </row>
    <row r="242" spans="1:16" x14ac:dyDescent="0.45">
      <c r="A242" t="s">
        <v>400</v>
      </c>
      <c r="B242" s="2">
        <v>3000395</v>
      </c>
      <c r="D242" t="s">
        <v>401</v>
      </c>
      <c r="F242" t="s">
        <v>42</v>
      </c>
      <c r="G242" t="s">
        <v>86</v>
      </c>
      <c r="H242" s="1">
        <v>187.69</v>
      </c>
      <c r="I242" s="6">
        <v>64.814809999999994</v>
      </c>
      <c r="J242" s="6">
        <v>60</v>
      </c>
      <c r="K242" s="6">
        <v>198.95140000000001</v>
      </c>
      <c r="L242">
        <v>8</v>
      </c>
      <c r="M242">
        <v>0</v>
      </c>
      <c r="N242" t="b">
        <v>0</v>
      </c>
      <c r="O242" t="b">
        <v>0</v>
      </c>
      <c r="P242" t="b">
        <v>1</v>
      </c>
    </row>
    <row r="243" spans="1:16" x14ac:dyDescent="0.45">
      <c r="A243" t="s">
        <v>402</v>
      </c>
      <c r="B243" s="2">
        <v>567</v>
      </c>
      <c r="D243" t="s">
        <v>401</v>
      </c>
      <c r="F243" t="s">
        <v>42</v>
      </c>
      <c r="G243" t="s">
        <v>86</v>
      </c>
      <c r="H243" s="1">
        <v>361.43</v>
      </c>
      <c r="I243" s="6">
        <v>594</v>
      </c>
      <c r="J243" s="6">
        <v>594</v>
      </c>
      <c r="K243" s="6">
        <v>383.11579999999998</v>
      </c>
      <c r="L243">
        <v>8</v>
      </c>
      <c r="M243">
        <v>0</v>
      </c>
      <c r="N243" t="b">
        <v>0</v>
      </c>
      <c r="O243" t="b">
        <v>0</v>
      </c>
      <c r="P243" t="b">
        <v>1</v>
      </c>
    </row>
    <row r="244" spans="1:16" x14ac:dyDescent="0.45">
      <c r="A244" t="s">
        <v>403</v>
      </c>
      <c r="B244" s="2">
        <v>6000067</v>
      </c>
      <c r="D244" t="s">
        <v>34</v>
      </c>
      <c r="F244" t="s">
        <v>42</v>
      </c>
      <c r="G244" t="s">
        <v>404</v>
      </c>
      <c r="H244" s="1">
        <v>54.105820000000001</v>
      </c>
      <c r="I244" s="6">
        <v>69.444400000000002</v>
      </c>
      <c r="J244" s="6">
        <v>69.444400000000002</v>
      </c>
      <c r="K244" s="6">
        <v>57.352169199999999</v>
      </c>
      <c r="L244">
        <v>8</v>
      </c>
      <c r="M244">
        <v>0</v>
      </c>
      <c r="N244" t="b">
        <v>0</v>
      </c>
      <c r="O244" t="b">
        <v>0</v>
      </c>
      <c r="P244" t="b">
        <v>1</v>
      </c>
    </row>
    <row r="245" spans="1:16" x14ac:dyDescent="0.45">
      <c r="A245" t="s">
        <v>405</v>
      </c>
      <c r="B245" s="2">
        <v>3000019</v>
      </c>
      <c r="D245" t="s">
        <v>183</v>
      </c>
      <c r="F245" t="s">
        <v>42</v>
      </c>
      <c r="G245" t="s">
        <v>406</v>
      </c>
      <c r="H245" s="1">
        <v>73.559989999999999</v>
      </c>
      <c r="I245" s="6">
        <v>69.444400000000002</v>
      </c>
      <c r="J245" s="6">
        <v>64.814809999999994</v>
      </c>
      <c r="K245" s="6">
        <v>77.973589399999994</v>
      </c>
      <c r="L245">
        <v>8</v>
      </c>
      <c r="M245">
        <v>60</v>
      </c>
      <c r="N245" t="b">
        <v>0</v>
      </c>
      <c r="O245" t="b">
        <v>0</v>
      </c>
      <c r="P245" t="b">
        <v>1</v>
      </c>
    </row>
    <row r="246" spans="1:16" x14ac:dyDescent="0.45">
      <c r="A246" t="s">
        <v>407</v>
      </c>
      <c r="B246" s="2">
        <v>6000068</v>
      </c>
      <c r="D246" t="s">
        <v>34</v>
      </c>
      <c r="F246" t="s">
        <v>51</v>
      </c>
      <c r="G246" t="s">
        <v>184</v>
      </c>
      <c r="H246" s="1">
        <v>2.7763599999999999</v>
      </c>
      <c r="I246" s="6">
        <v>3.61111</v>
      </c>
      <c r="J246" s="6">
        <v>3.61111</v>
      </c>
      <c r="K246" s="6">
        <v>2.9429416000000002</v>
      </c>
      <c r="L246">
        <v>0</v>
      </c>
      <c r="M246">
        <v>0</v>
      </c>
      <c r="N246" t="b">
        <v>0</v>
      </c>
      <c r="O246" t="b">
        <v>0</v>
      </c>
      <c r="P246" t="b">
        <v>1</v>
      </c>
    </row>
    <row r="247" spans="1:16" x14ac:dyDescent="0.45">
      <c r="A247" t="s">
        <v>408</v>
      </c>
      <c r="B247" s="2">
        <v>3000439</v>
      </c>
      <c r="D247" t="s">
        <v>409</v>
      </c>
      <c r="F247" t="s">
        <v>51</v>
      </c>
      <c r="G247" t="s">
        <v>410</v>
      </c>
      <c r="H247" s="1">
        <v>1.6579999999999999</v>
      </c>
      <c r="I247" s="6">
        <v>3.3332999999999999</v>
      </c>
      <c r="J247" s="6">
        <v>2.7776999999999998</v>
      </c>
      <c r="K247" s="6">
        <v>1.7574799999999999</v>
      </c>
      <c r="L247">
        <v>0</v>
      </c>
      <c r="M247">
        <v>3600</v>
      </c>
      <c r="N247" t="b">
        <v>0</v>
      </c>
      <c r="O247" t="b">
        <v>0</v>
      </c>
      <c r="P247" t="b">
        <v>1</v>
      </c>
    </row>
    <row r="248" spans="1:16" x14ac:dyDescent="0.45">
      <c r="A248" t="s">
        <v>411</v>
      </c>
      <c r="B248" s="2">
        <v>6000069</v>
      </c>
      <c r="D248" t="s">
        <v>34</v>
      </c>
      <c r="F248" t="s">
        <v>42</v>
      </c>
      <c r="G248" t="s">
        <v>65</v>
      </c>
      <c r="H248" s="1">
        <v>65</v>
      </c>
      <c r="I248" s="6">
        <v>91.8</v>
      </c>
      <c r="J248" s="6">
        <v>91.8</v>
      </c>
      <c r="K248" s="6">
        <v>68.900000000000006</v>
      </c>
      <c r="L248">
        <v>8</v>
      </c>
      <c r="M248">
        <v>0</v>
      </c>
      <c r="N248" t="b">
        <v>0</v>
      </c>
      <c r="O248" t="b">
        <v>0</v>
      </c>
      <c r="P248" t="b">
        <v>1</v>
      </c>
    </row>
    <row r="249" spans="1:16" x14ac:dyDescent="0.45">
      <c r="A249" t="s">
        <v>412</v>
      </c>
      <c r="B249" s="2">
        <v>3000021</v>
      </c>
      <c r="D249" t="s">
        <v>409</v>
      </c>
      <c r="F249" t="s">
        <v>51</v>
      </c>
      <c r="G249" t="s">
        <v>410</v>
      </c>
      <c r="H249" s="1">
        <v>1.4040299999999999</v>
      </c>
      <c r="I249" s="6">
        <v>2.0833300000000001</v>
      </c>
      <c r="J249" s="6">
        <v>2.0833300000000001</v>
      </c>
      <c r="K249" s="6">
        <v>1.4882717999999999</v>
      </c>
      <c r="L249">
        <v>0</v>
      </c>
      <c r="M249">
        <v>0</v>
      </c>
      <c r="N249" t="b">
        <v>0</v>
      </c>
      <c r="O249" t="b">
        <v>0</v>
      </c>
      <c r="P249" t="b">
        <v>1</v>
      </c>
    </row>
    <row r="250" spans="1:16" x14ac:dyDescent="0.45">
      <c r="A250" t="s">
        <v>413</v>
      </c>
      <c r="B250" s="2">
        <v>6000041</v>
      </c>
      <c r="D250" t="s">
        <v>34</v>
      </c>
      <c r="F250" t="s">
        <v>51</v>
      </c>
      <c r="G250" t="s">
        <v>414</v>
      </c>
      <c r="H250" s="1">
        <v>2.1428600000000002</v>
      </c>
      <c r="I250" s="6">
        <v>3.3333300000000001</v>
      </c>
      <c r="J250" s="6">
        <v>3.3333300000000001</v>
      </c>
      <c r="K250" s="6">
        <v>2.2714316000000001</v>
      </c>
      <c r="L250">
        <v>0</v>
      </c>
      <c r="M250">
        <v>0</v>
      </c>
      <c r="N250" t="b">
        <v>0</v>
      </c>
      <c r="O250" t="b">
        <v>0</v>
      </c>
      <c r="P250" t="b">
        <v>1</v>
      </c>
    </row>
    <row r="251" spans="1:16" x14ac:dyDescent="0.45">
      <c r="A251" t="s">
        <v>415</v>
      </c>
      <c r="B251" s="2">
        <v>1009215</v>
      </c>
      <c r="C251" t="s">
        <v>33</v>
      </c>
      <c r="D251" t="s">
        <v>416</v>
      </c>
      <c r="E251" s="5" t="s">
        <v>417</v>
      </c>
      <c r="F251" t="s">
        <v>38</v>
      </c>
      <c r="G251" t="s">
        <v>317</v>
      </c>
      <c r="H251" s="1">
        <v>14.86</v>
      </c>
      <c r="I251" s="6">
        <v>32.407409999999999</v>
      </c>
      <c r="J251" s="6">
        <v>28.94</v>
      </c>
      <c r="K251" s="6">
        <v>15.76</v>
      </c>
      <c r="L251">
        <v>8</v>
      </c>
      <c r="M251">
        <v>60</v>
      </c>
      <c r="N251" t="b">
        <v>0</v>
      </c>
      <c r="O251" t="b">
        <v>0</v>
      </c>
      <c r="P251" t="b">
        <v>1</v>
      </c>
    </row>
    <row r="252" spans="1:16" x14ac:dyDescent="0.45">
      <c r="A252" t="s">
        <v>418</v>
      </c>
      <c r="B252" s="2">
        <v>3000127</v>
      </c>
      <c r="C252" t="s">
        <v>33</v>
      </c>
      <c r="D252" t="s">
        <v>416</v>
      </c>
      <c r="E252" s="5" t="s">
        <v>417</v>
      </c>
      <c r="F252" t="s">
        <v>38</v>
      </c>
      <c r="G252" t="s">
        <v>317</v>
      </c>
      <c r="H252" s="1">
        <v>16.399999999999999</v>
      </c>
      <c r="I252" s="6">
        <v>37.037039999999998</v>
      </c>
      <c r="J252" s="6">
        <v>32.79</v>
      </c>
      <c r="K252" s="6">
        <v>17.38</v>
      </c>
      <c r="L252">
        <v>8</v>
      </c>
      <c r="M252">
        <v>60</v>
      </c>
      <c r="N252" t="b">
        <v>0</v>
      </c>
      <c r="O252" t="b">
        <v>0</v>
      </c>
      <c r="P252" t="b">
        <v>1</v>
      </c>
    </row>
    <row r="253" spans="1:16" x14ac:dyDescent="0.45">
      <c r="A253" t="s">
        <v>419</v>
      </c>
      <c r="B253" s="2">
        <v>1008395</v>
      </c>
      <c r="D253" t="s">
        <v>416</v>
      </c>
      <c r="E253" s="5" t="s">
        <v>417</v>
      </c>
      <c r="F253" t="s">
        <v>38</v>
      </c>
      <c r="G253" t="s">
        <v>317</v>
      </c>
      <c r="H253" s="1">
        <v>13.14</v>
      </c>
      <c r="I253" s="6">
        <v>32.407409999999999</v>
      </c>
      <c r="J253" s="6">
        <v>28.94</v>
      </c>
      <c r="K253" s="6">
        <v>13.9284</v>
      </c>
      <c r="L253">
        <v>8</v>
      </c>
      <c r="M253">
        <v>0</v>
      </c>
      <c r="N253" t="b">
        <v>0</v>
      </c>
      <c r="O253" t="b">
        <v>0</v>
      </c>
      <c r="P253" t="b">
        <v>1</v>
      </c>
    </row>
    <row r="254" spans="1:16" x14ac:dyDescent="0.45">
      <c r="A254" t="s">
        <v>420</v>
      </c>
      <c r="B254" s="2">
        <v>3003001</v>
      </c>
      <c r="D254" t="s">
        <v>416</v>
      </c>
      <c r="E254" s="5" t="s">
        <v>417</v>
      </c>
      <c r="F254" t="s">
        <v>38</v>
      </c>
      <c r="G254" t="s">
        <v>317</v>
      </c>
      <c r="H254" s="1">
        <v>14.805</v>
      </c>
      <c r="I254" s="6">
        <v>32.407409999999999</v>
      </c>
      <c r="J254" s="6">
        <v>28.94</v>
      </c>
      <c r="K254" s="6">
        <v>15.693300000000001</v>
      </c>
      <c r="L254">
        <v>8</v>
      </c>
      <c r="M254">
        <v>60</v>
      </c>
      <c r="N254" t="b">
        <v>0</v>
      </c>
      <c r="O254" t="b">
        <v>0</v>
      </c>
      <c r="P254" t="b">
        <v>1</v>
      </c>
    </row>
    <row r="255" spans="1:16" x14ac:dyDescent="0.45">
      <c r="A255" t="s">
        <v>421</v>
      </c>
      <c r="B255" s="2">
        <v>3000132</v>
      </c>
      <c r="D255" t="s">
        <v>416</v>
      </c>
      <c r="E255" s="5" t="s">
        <v>417</v>
      </c>
      <c r="F255" t="s">
        <v>38</v>
      </c>
      <c r="G255" t="s">
        <v>317</v>
      </c>
      <c r="H255" s="1">
        <v>14.861000000000001</v>
      </c>
      <c r="I255" s="6">
        <v>32.407409999999999</v>
      </c>
      <c r="J255" s="6">
        <v>28.94</v>
      </c>
      <c r="K255" s="6">
        <v>15.752660000000001</v>
      </c>
      <c r="L255">
        <v>8</v>
      </c>
      <c r="M255">
        <v>60</v>
      </c>
      <c r="N255" t="b">
        <v>0</v>
      </c>
      <c r="O255" t="b">
        <v>0</v>
      </c>
      <c r="P255" t="b">
        <v>1</v>
      </c>
    </row>
    <row r="256" spans="1:16" x14ac:dyDescent="0.45">
      <c r="A256" t="s">
        <v>422</v>
      </c>
      <c r="B256" s="2">
        <v>3000135</v>
      </c>
      <c r="D256" t="s">
        <v>416</v>
      </c>
      <c r="E256" s="5" t="s">
        <v>417</v>
      </c>
      <c r="F256" t="s">
        <v>38</v>
      </c>
      <c r="G256" t="s">
        <v>317</v>
      </c>
      <c r="H256" s="1">
        <v>16.146979999999999</v>
      </c>
      <c r="I256" s="6">
        <v>32.407409999999999</v>
      </c>
      <c r="J256" s="6">
        <v>28.94</v>
      </c>
      <c r="K256" s="6">
        <v>17.1157988</v>
      </c>
      <c r="L256">
        <v>8</v>
      </c>
      <c r="M256">
        <v>60</v>
      </c>
      <c r="N256" t="b">
        <v>0</v>
      </c>
      <c r="O256" t="b">
        <v>0</v>
      </c>
      <c r="P256" t="b">
        <v>1</v>
      </c>
    </row>
    <row r="257" spans="1:16" x14ac:dyDescent="0.45">
      <c r="A257" t="s">
        <v>423</v>
      </c>
      <c r="B257" s="2">
        <v>3003148</v>
      </c>
      <c r="D257" t="s">
        <v>416</v>
      </c>
      <c r="E257" s="5" t="s">
        <v>417</v>
      </c>
      <c r="F257" t="s">
        <v>38</v>
      </c>
      <c r="G257" t="s">
        <v>317</v>
      </c>
      <c r="H257" s="1">
        <v>21.36</v>
      </c>
      <c r="I257" s="6">
        <v>32.407409999999999</v>
      </c>
      <c r="J257" s="6">
        <v>28.94</v>
      </c>
      <c r="K257" s="6">
        <v>22.6416</v>
      </c>
      <c r="L257">
        <v>8</v>
      </c>
      <c r="M257">
        <v>0</v>
      </c>
      <c r="N257" t="b">
        <v>0</v>
      </c>
      <c r="O257" t="b">
        <v>0</v>
      </c>
      <c r="P257" t="b">
        <v>1</v>
      </c>
    </row>
    <row r="258" spans="1:16" x14ac:dyDescent="0.45">
      <c r="A258" t="s">
        <v>424</v>
      </c>
      <c r="B258" s="2">
        <v>1009211</v>
      </c>
      <c r="D258" t="s">
        <v>416</v>
      </c>
      <c r="E258" s="5" t="s">
        <v>417</v>
      </c>
      <c r="F258" t="s">
        <v>38</v>
      </c>
      <c r="G258" t="s">
        <v>317</v>
      </c>
      <c r="H258" s="1">
        <v>15.48667</v>
      </c>
      <c r="I258" s="6">
        <v>32.407409999999999</v>
      </c>
      <c r="J258" s="6">
        <v>28.94</v>
      </c>
      <c r="K258" s="6">
        <v>16.415870200000001</v>
      </c>
      <c r="L258">
        <v>8</v>
      </c>
      <c r="M258">
        <v>60</v>
      </c>
      <c r="N258" t="b">
        <v>0</v>
      </c>
      <c r="O258" t="b">
        <v>0</v>
      </c>
      <c r="P258" t="b">
        <v>1</v>
      </c>
    </row>
    <row r="259" spans="1:16" x14ac:dyDescent="0.45">
      <c r="A259" t="s">
        <v>425</v>
      </c>
      <c r="B259" s="2">
        <v>3003002</v>
      </c>
      <c r="D259" t="s">
        <v>416</v>
      </c>
      <c r="E259" s="5" t="s">
        <v>417</v>
      </c>
      <c r="F259" t="s">
        <v>38</v>
      </c>
      <c r="G259" t="s">
        <v>317</v>
      </c>
      <c r="H259" s="1">
        <v>16.07169</v>
      </c>
      <c r="I259" s="6">
        <v>32.407409999999999</v>
      </c>
      <c r="J259" s="6">
        <v>28.94</v>
      </c>
      <c r="K259" s="6">
        <v>17.0359914</v>
      </c>
      <c r="L259">
        <v>8</v>
      </c>
      <c r="M259">
        <v>60</v>
      </c>
      <c r="N259" t="b">
        <v>0</v>
      </c>
      <c r="O259" t="b">
        <v>0</v>
      </c>
      <c r="P259" t="b">
        <v>1</v>
      </c>
    </row>
    <row r="260" spans="1:16" x14ac:dyDescent="0.45">
      <c r="A260" t="s">
        <v>426</v>
      </c>
      <c r="B260" s="2">
        <v>3000172</v>
      </c>
      <c r="D260" t="s">
        <v>416</v>
      </c>
      <c r="E260" s="5" t="s">
        <v>417</v>
      </c>
      <c r="F260" t="s">
        <v>38</v>
      </c>
      <c r="G260" t="s">
        <v>317</v>
      </c>
      <c r="H260" s="1">
        <v>15.484640000000001</v>
      </c>
      <c r="I260" s="6">
        <v>32.407409999999999</v>
      </c>
      <c r="J260" s="6">
        <v>28.94</v>
      </c>
      <c r="K260" s="6">
        <v>16.4137184</v>
      </c>
      <c r="L260">
        <v>8</v>
      </c>
      <c r="M260">
        <v>60</v>
      </c>
      <c r="N260" t="b">
        <v>0</v>
      </c>
      <c r="O260" t="b">
        <v>0</v>
      </c>
      <c r="P260" t="b">
        <v>1</v>
      </c>
    </row>
    <row r="261" spans="1:16" x14ac:dyDescent="0.45">
      <c r="A261" t="s">
        <v>427</v>
      </c>
      <c r="B261" s="2">
        <v>3000338</v>
      </c>
      <c r="D261" t="s">
        <v>416</v>
      </c>
      <c r="E261" s="5" t="s">
        <v>417</v>
      </c>
      <c r="F261" t="s">
        <v>38</v>
      </c>
      <c r="G261" t="s">
        <v>317</v>
      </c>
      <c r="H261" s="1">
        <v>14.8</v>
      </c>
      <c r="I261" s="6">
        <v>32.407409999999999</v>
      </c>
      <c r="J261" s="6">
        <v>28.94</v>
      </c>
      <c r="K261" s="6">
        <v>15.688000000000001</v>
      </c>
      <c r="L261">
        <v>8</v>
      </c>
      <c r="M261">
        <v>0</v>
      </c>
      <c r="N261" t="b">
        <v>0</v>
      </c>
      <c r="O261" t="b">
        <v>0</v>
      </c>
      <c r="P261" t="b">
        <v>1</v>
      </c>
    </row>
    <row r="262" spans="1:16" x14ac:dyDescent="0.45">
      <c r="A262" t="s">
        <v>428</v>
      </c>
      <c r="B262" s="2">
        <v>3000173</v>
      </c>
      <c r="D262" t="s">
        <v>416</v>
      </c>
      <c r="E262" s="5" t="s">
        <v>417</v>
      </c>
      <c r="F262" t="s">
        <v>38</v>
      </c>
      <c r="G262" t="s">
        <v>317</v>
      </c>
      <c r="H262" s="1">
        <v>14.84496</v>
      </c>
      <c r="I262" s="6">
        <v>32.407409999999999</v>
      </c>
      <c r="J262" s="6">
        <v>28.94</v>
      </c>
      <c r="K262" s="6">
        <v>15.7356576</v>
      </c>
      <c r="L262">
        <v>8</v>
      </c>
      <c r="M262">
        <v>60</v>
      </c>
      <c r="N262" t="b">
        <v>0</v>
      </c>
      <c r="O262" t="b">
        <v>0</v>
      </c>
      <c r="P262" t="b">
        <v>1</v>
      </c>
    </row>
    <row r="263" spans="1:16" x14ac:dyDescent="0.45">
      <c r="A263" t="s">
        <v>429</v>
      </c>
      <c r="B263" s="2">
        <v>3000177</v>
      </c>
      <c r="D263" t="s">
        <v>34</v>
      </c>
      <c r="F263" t="s">
        <v>35</v>
      </c>
      <c r="G263" t="s">
        <v>154</v>
      </c>
      <c r="H263" s="1">
        <v>11.7925</v>
      </c>
      <c r="I263" s="6">
        <v>11.46</v>
      </c>
      <c r="J263" s="6">
        <v>11.46</v>
      </c>
      <c r="K263" s="6">
        <v>12.50005</v>
      </c>
      <c r="L263">
        <v>8</v>
      </c>
      <c r="M263">
        <v>0</v>
      </c>
      <c r="N263" t="b">
        <v>0</v>
      </c>
      <c r="O263" t="b">
        <v>0</v>
      </c>
      <c r="P263" t="b">
        <v>1</v>
      </c>
    </row>
    <row r="264" spans="1:16" x14ac:dyDescent="0.45">
      <c r="A264" t="s">
        <v>430</v>
      </c>
      <c r="B264" s="2">
        <v>6000070</v>
      </c>
      <c r="D264" t="s">
        <v>34</v>
      </c>
      <c r="F264" t="s">
        <v>42</v>
      </c>
      <c r="G264" t="s">
        <v>47</v>
      </c>
      <c r="H264" s="1">
        <v>40</v>
      </c>
      <c r="I264" s="6">
        <v>120</v>
      </c>
      <c r="J264" s="6">
        <v>120</v>
      </c>
      <c r="K264" s="6">
        <v>42.4</v>
      </c>
      <c r="L264">
        <v>0</v>
      </c>
      <c r="M264">
        <v>0</v>
      </c>
      <c r="N264" t="b">
        <v>0</v>
      </c>
      <c r="O264" t="b">
        <v>0</v>
      </c>
      <c r="P264" t="b">
        <v>1</v>
      </c>
    </row>
    <row r="265" spans="1:16" x14ac:dyDescent="0.45">
      <c r="A265" t="s">
        <v>431</v>
      </c>
      <c r="B265" s="2">
        <v>6000071</v>
      </c>
      <c r="D265" t="s">
        <v>34</v>
      </c>
      <c r="F265" t="s">
        <v>42</v>
      </c>
      <c r="G265" t="s">
        <v>47</v>
      </c>
      <c r="H265" s="1">
        <v>35</v>
      </c>
      <c r="I265" s="6">
        <v>100</v>
      </c>
      <c r="J265" s="6">
        <v>100</v>
      </c>
      <c r="K265" s="6">
        <v>37.1</v>
      </c>
      <c r="L265">
        <v>0</v>
      </c>
      <c r="M265">
        <v>0</v>
      </c>
      <c r="N265" t="b">
        <v>0</v>
      </c>
      <c r="O265" t="b">
        <v>0</v>
      </c>
      <c r="P265" t="b">
        <v>1</v>
      </c>
    </row>
    <row r="266" spans="1:16" x14ac:dyDescent="0.45">
      <c r="A266" t="s">
        <v>432</v>
      </c>
      <c r="B266" s="2" t="s">
        <v>433</v>
      </c>
      <c r="F266" t="s">
        <v>58</v>
      </c>
      <c r="H266" s="1">
        <v>0</v>
      </c>
      <c r="I266" s="6">
        <v>150</v>
      </c>
      <c r="J266" s="6">
        <v>150</v>
      </c>
      <c r="K266" s="6">
        <v>150</v>
      </c>
      <c r="L266">
        <v>0</v>
      </c>
      <c r="M266">
        <v>0</v>
      </c>
      <c r="N266" t="b">
        <v>0</v>
      </c>
      <c r="O266" t="b">
        <v>0</v>
      </c>
      <c r="P266" t="b">
        <v>1</v>
      </c>
    </row>
    <row r="267" spans="1:16" x14ac:dyDescent="0.45">
      <c r="A267" t="s">
        <v>434</v>
      </c>
      <c r="B267" s="2">
        <v>3000576</v>
      </c>
      <c r="D267" t="s">
        <v>357</v>
      </c>
      <c r="F267" t="s">
        <v>42</v>
      </c>
      <c r="G267" t="s">
        <v>60</v>
      </c>
      <c r="H267" s="1">
        <v>89.56</v>
      </c>
      <c r="I267" s="6">
        <v>129.6</v>
      </c>
      <c r="J267" s="6">
        <v>129.6</v>
      </c>
      <c r="K267" s="6">
        <v>94.933599999999998</v>
      </c>
      <c r="L267">
        <v>8</v>
      </c>
      <c r="M267">
        <v>0</v>
      </c>
      <c r="N267" t="b">
        <v>0</v>
      </c>
      <c r="O267" t="b">
        <v>0</v>
      </c>
      <c r="P267" t="b">
        <v>1</v>
      </c>
    </row>
    <row r="268" spans="1:16" x14ac:dyDescent="0.45">
      <c r="A268" t="s">
        <v>435</v>
      </c>
      <c r="B268" s="2">
        <v>1009900</v>
      </c>
      <c r="D268" t="s">
        <v>41</v>
      </c>
      <c r="F268" t="s">
        <v>159</v>
      </c>
      <c r="G268" t="s">
        <v>436</v>
      </c>
      <c r="H268" s="1">
        <v>14.38017</v>
      </c>
      <c r="I268" s="6">
        <v>37.037039999999998</v>
      </c>
      <c r="J268" s="6">
        <v>32.409999999999997</v>
      </c>
      <c r="K268" s="6">
        <v>15.2429802</v>
      </c>
      <c r="L268">
        <v>8</v>
      </c>
      <c r="M268">
        <v>60</v>
      </c>
      <c r="N268" t="b">
        <v>0</v>
      </c>
      <c r="O268" t="b">
        <v>0</v>
      </c>
      <c r="P268" t="b">
        <v>1</v>
      </c>
    </row>
    <row r="269" spans="1:16" x14ac:dyDescent="0.45">
      <c r="A269" t="s">
        <v>437</v>
      </c>
      <c r="B269" s="2">
        <v>6000185</v>
      </c>
      <c r="D269" t="s">
        <v>34</v>
      </c>
      <c r="F269" t="s">
        <v>159</v>
      </c>
      <c r="G269" t="s">
        <v>438</v>
      </c>
      <c r="H269" s="1">
        <v>30.864000000000001</v>
      </c>
      <c r="I269" s="6">
        <v>49.68</v>
      </c>
      <c r="J269" s="6">
        <v>49.68</v>
      </c>
      <c r="K269" s="6">
        <v>32.71584</v>
      </c>
      <c r="L269">
        <v>8</v>
      </c>
      <c r="M269">
        <v>0</v>
      </c>
      <c r="N269" t="b">
        <v>0</v>
      </c>
      <c r="O269" t="b">
        <v>0</v>
      </c>
      <c r="P269" t="b">
        <v>1</v>
      </c>
    </row>
    <row r="270" spans="1:16" x14ac:dyDescent="0.45">
      <c r="A270" t="s">
        <v>439</v>
      </c>
      <c r="B270" s="2">
        <v>6000155</v>
      </c>
      <c r="D270" t="s">
        <v>34</v>
      </c>
      <c r="F270" t="s">
        <v>159</v>
      </c>
      <c r="G270" t="s">
        <v>440</v>
      </c>
      <c r="H270" s="1">
        <v>58.641979999999997</v>
      </c>
      <c r="I270" s="6">
        <v>86.4</v>
      </c>
      <c r="J270" s="6">
        <v>86.4</v>
      </c>
      <c r="K270" s="6">
        <v>62.160498799999999</v>
      </c>
      <c r="L270">
        <v>8</v>
      </c>
      <c r="M270">
        <v>0</v>
      </c>
      <c r="N270" t="b">
        <v>0</v>
      </c>
      <c r="O270" t="b">
        <v>0</v>
      </c>
      <c r="P270" t="b">
        <v>1</v>
      </c>
    </row>
    <row r="271" spans="1:16" x14ac:dyDescent="0.45">
      <c r="A271" t="s">
        <v>441</v>
      </c>
      <c r="B271" s="2">
        <v>658</v>
      </c>
      <c r="D271" t="s">
        <v>409</v>
      </c>
      <c r="F271" t="s">
        <v>51</v>
      </c>
      <c r="G271" t="s">
        <v>410</v>
      </c>
      <c r="H271" s="1">
        <v>2.5861100000000001</v>
      </c>
      <c r="I271" s="6">
        <v>3.5</v>
      </c>
      <c r="J271" s="6">
        <v>3.5</v>
      </c>
      <c r="K271" s="6">
        <v>2.7412766</v>
      </c>
      <c r="L271">
        <v>0</v>
      </c>
      <c r="M271">
        <v>0</v>
      </c>
      <c r="N271" t="b">
        <v>0</v>
      </c>
      <c r="O271" t="b">
        <v>0</v>
      </c>
      <c r="P271" t="b">
        <v>1</v>
      </c>
    </row>
    <row r="272" spans="1:16" x14ac:dyDescent="0.45">
      <c r="A272" t="s">
        <v>442</v>
      </c>
      <c r="B272" s="2">
        <v>3000481</v>
      </c>
      <c r="D272" t="s">
        <v>67</v>
      </c>
      <c r="F272" t="s">
        <v>42</v>
      </c>
      <c r="G272" t="s">
        <v>443</v>
      </c>
      <c r="H272" s="1">
        <v>18.699000000000002</v>
      </c>
      <c r="I272" s="6">
        <v>55.555555555550001</v>
      </c>
      <c r="J272" s="6">
        <v>53.332999999999998</v>
      </c>
      <c r="K272" s="6">
        <v>19.82094</v>
      </c>
      <c r="L272">
        <v>8</v>
      </c>
      <c r="M272">
        <v>100</v>
      </c>
      <c r="N272" t="b">
        <v>0</v>
      </c>
      <c r="O272" t="b">
        <v>0</v>
      </c>
      <c r="P272" t="b">
        <v>1</v>
      </c>
    </row>
    <row r="273" spans="1:16" x14ac:dyDescent="0.45">
      <c r="A273" t="s">
        <v>444</v>
      </c>
      <c r="B273" s="2">
        <v>3003180</v>
      </c>
      <c r="D273" t="s">
        <v>67</v>
      </c>
      <c r="F273" t="s">
        <v>42</v>
      </c>
      <c r="G273" t="s">
        <v>60</v>
      </c>
      <c r="H273" s="1">
        <v>18.48479</v>
      </c>
      <c r="I273" s="6">
        <v>55.555555555550001</v>
      </c>
      <c r="J273" s="6">
        <v>53.332999999999998</v>
      </c>
      <c r="K273" s="6">
        <v>19.5938774</v>
      </c>
      <c r="L273">
        <v>8</v>
      </c>
      <c r="M273">
        <v>100</v>
      </c>
      <c r="N273" t="b">
        <v>0</v>
      </c>
      <c r="O273" t="b">
        <v>0</v>
      </c>
      <c r="P273" t="b">
        <v>1</v>
      </c>
    </row>
    <row r="274" spans="1:16" x14ac:dyDescent="0.45">
      <c r="A274" t="s">
        <v>445</v>
      </c>
      <c r="B274" s="2">
        <v>6000072</v>
      </c>
      <c r="D274" t="s">
        <v>34</v>
      </c>
      <c r="F274" t="s">
        <v>42</v>
      </c>
      <c r="G274" t="s">
        <v>68</v>
      </c>
      <c r="H274" s="1">
        <v>35</v>
      </c>
      <c r="I274" s="6">
        <v>57.6</v>
      </c>
      <c r="J274" s="6">
        <v>57.6</v>
      </c>
      <c r="K274" s="6">
        <v>37.1</v>
      </c>
      <c r="L274">
        <v>8</v>
      </c>
      <c r="M274">
        <v>0</v>
      </c>
      <c r="N274" t="b">
        <v>0</v>
      </c>
      <c r="O274" t="b">
        <v>0</v>
      </c>
      <c r="P274" t="b">
        <v>1</v>
      </c>
    </row>
    <row r="275" spans="1:16" x14ac:dyDescent="0.45">
      <c r="A275" t="s">
        <v>1078</v>
      </c>
      <c r="B275" s="2">
        <v>3000453</v>
      </c>
      <c r="D275" t="s">
        <v>364</v>
      </c>
      <c r="F275" t="s">
        <v>38</v>
      </c>
      <c r="G275" t="s">
        <v>47</v>
      </c>
      <c r="H275" s="1">
        <v>37.83</v>
      </c>
      <c r="I275" s="6">
        <v>180</v>
      </c>
      <c r="J275" s="6">
        <v>180</v>
      </c>
      <c r="K275" s="6">
        <v>40.099800000000002</v>
      </c>
      <c r="L275">
        <v>8</v>
      </c>
      <c r="M275">
        <v>50</v>
      </c>
      <c r="N275" t="b">
        <v>0</v>
      </c>
      <c r="O275" t="b">
        <v>0</v>
      </c>
      <c r="P275" t="b">
        <v>1</v>
      </c>
    </row>
    <row r="276" spans="1:16" x14ac:dyDescent="0.45">
      <c r="A276" t="s">
        <v>446</v>
      </c>
      <c r="B276" s="2">
        <v>6000073</v>
      </c>
      <c r="D276" t="s">
        <v>34</v>
      </c>
      <c r="F276" t="s">
        <v>35</v>
      </c>
      <c r="G276" t="s">
        <v>447</v>
      </c>
      <c r="H276" s="1">
        <v>17.361249999999998</v>
      </c>
      <c r="I276" s="6">
        <v>12.96</v>
      </c>
      <c r="J276" s="6">
        <v>12.96</v>
      </c>
      <c r="K276" s="6">
        <v>18.402925</v>
      </c>
      <c r="L276">
        <v>8</v>
      </c>
      <c r="M276">
        <v>0</v>
      </c>
      <c r="N276" t="b">
        <v>0</v>
      </c>
      <c r="O276" t="b">
        <v>0</v>
      </c>
      <c r="P276" t="b">
        <v>1</v>
      </c>
    </row>
    <row r="277" spans="1:16" x14ac:dyDescent="0.45">
      <c r="A277" t="s">
        <v>448</v>
      </c>
      <c r="B277" s="2">
        <v>3000025</v>
      </c>
      <c r="D277" t="s">
        <v>41</v>
      </c>
      <c r="F277" t="s">
        <v>35</v>
      </c>
      <c r="G277" t="s">
        <v>449</v>
      </c>
      <c r="H277" s="1">
        <v>47.79</v>
      </c>
      <c r="I277" s="6">
        <v>91.67</v>
      </c>
      <c r="J277" s="6">
        <v>91.67</v>
      </c>
      <c r="K277" s="6">
        <v>50.657400000000003</v>
      </c>
      <c r="L277">
        <v>8</v>
      </c>
      <c r="M277">
        <v>30</v>
      </c>
      <c r="N277" t="b">
        <v>0</v>
      </c>
      <c r="O277" t="b">
        <v>0</v>
      </c>
      <c r="P277" t="b">
        <v>1</v>
      </c>
    </row>
    <row r="278" spans="1:16" x14ac:dyDescent="0.45">
      <c r="A278" t="s">
        <v>450</v>
      </c>
      <c r="B278" s="2">
        <v>6000074</v>
      </c>
      <c r="D278" t="s">
        <v>34</v>
      </c>
      <c r="F278" t="s">
        <v>42</v>
      </c>
      <c r="G278" t="s">
        <v>65</v>
      </c>
      <c r="H278" s="1">
        <v>50</v>
      </c>
      <c r="I278" s="6">
        <v>356.4</v>
      </c>
      <c r="J278" s="6">
        <v>356.4</v>
      </c>
      <c r="K278" s="6">
        <v>53</v>
      </c>
      <c r="L278">
        <v>8</v>
      </c>
      <c r="M278">
        <v>0</v>
      </c>
      <c r="N278" t="b">
        <v>0</v>
      </c>
      <c r="O278" t="b">
        <v>0</v>
      </c>
      <c r="P278" t="b">
        <v>1</v>
      </c>
    </row>
    <row r="279" spans="1:16" x14ac:dyDescent="0.45">
      <c r="A279" t="s">
        <v>451</v>
      </c>
      <c r="B279" s="2">
        <v>6000186</v>
      </c>
      <c r="D279" t="s">
        <v>34</v>
      </c>
      <c r="F279" t="s">
        <v>42</v>
      </c>
      <c r="G279" t="s">
        <v>47</v>
      </c>
      <c r="H279" s="1">
        <v>65</v>
      </c>
      <c r="I279" s="6">
        <v>108</v>
      </c>
      <c r="J279" s="6">
        <v>108</v>
      </c>
      <c r="K279" s="6">
        <v>68.900000000000006</v>
      </c>
      <c r="L279">
        <v>8</v>
      </c>
      <c r="M279">
        <v>0</v>
      </c>
      <c r="N279" t="b">
        <v>0</v>
      </c>
      <c r="O279" t="b">
        <v>0</v>
      </c>
      <c r="P279" t="b">
        <v>1</v>
      </c>
    </row>
    <row r="280" spans="1:16" x14ac:dyDescent="0.45">
      <c r="A280" t="s">
        <v>452</v>
      </c>
      <c r="B280" s="2">
        <v>3000473</v>
      </c>
      <c r="D280" t="s">
        <v>41</v>
      </c>
      <c r="F280" t="s">
        <v>38</v>
      </c>
      <c r="G280" t="s">
        <v>86</v>
      </c>
      <c r="H280" s="1">
        <v>123.18</v>
      </c>
      <c r="I280" s="6">
        <v>220</v>
      </c>
      <c r="J280" s="6">
        <v>220</v>
      </c>
      <c r="K280" s="6">
        <v>130.57079999999999</v>
      </c>
      <c r="L280">
        <v>8</v>
      </c>
      <c r="M280">
        <v>0</v>
      </c>
      <c r="N280" t="b">
        <v>0</v>
      </c>
      <c r="O280" t="b">
        <v>0</v>
      </c>
      <c r="P280" t="b">
        <v>1</v>
      </c>
    </row>
    <row r="281" spans="1:16" x14ac:dyDescent="0.45">
      <c r="A281" t="s">
        <v>453</v>
      </c>
      <c r="B281" s="2">
        <v>1008390</v>
      </c>
      <c r="C281" t="s">
        <v>33</v>
      </c>
      <c r="D281" t="s">
        <v>41</v>
      </c>
      <c r="E281" s="5" t="s">
        <v>33</v>
      </c>
      <c r="F281" t="s">
        <v>159</v>
      </c>
      <c r="G281" t="s">
        <v>454</v>
      </c>
      <c r="H281" s="1">
        <v>15.92</v>
      </c>
      <c r="I281" s="6">
        <v>46.296300000000002</v>
      </c>
      <c r="J281" s="6">
        <v>40.119999999999997</v>
      </c>
      <c r="K281" s="6">
        <v>16.88</v>
      </c>
      <c r="L281">
        <v>8</v>
      </c>
      <c r="M281">
        <v>120</v>
      </c>
      <c r="N281" t="b">
        <v>0</v>
      </c>
      <c r="O281" t="b">
        <v>0</v>
      </c>
      <c r="P281" t="b">
        <v>1</v>
      </c>
    </row>
    <row r="282" spans="1:16" x14ac:dyDescent="0.45">
      <c r="A282" t="s">
        <v>455</v>
      </c>
      <c r="B282" s="2">
        <v>6000154</v>
      </c>
      <c r="D282" t="s">
        <v>34</v>
      </c>
      <c r="F282" t="s">
        <v>35</v>
      </c>
      <c r="G282" t="s">
        <v>95</v>
      </c>
      <c r="H282" s="1">
        <v>75</v>
      </c>
      <c r="I282" s="6">
        <v>120</v>
      </c>
      <c r="J282" s="6">
        <v>120</v>
      </c>
      <c r="K282" s="6">
        <v>79.5</v>
      </c>
      <c r="L282">
        <v>8</v>
      </c>
      <c r="M282">
        <v>0</v>
      </c>
      <c r="N282" t="b">
        <v>0</v>
      </c>
      <c r="O282" t="b">
        <v>0</v>
      </c>
      <c r="P282" t="b">
        <v>1</v>
      </c>
    </row>
    <row r="283" spans="1:16" x14ac:dyDescent="0.45">
      <c r="A283" t="s">
        <v>456</v>
      </c>
      <c r="B283" s="2">
        <v>3003252</v>
      </c>
      <c r="D283" t="s">
        <v>170</v>
      </c>
      <c r="F283" t="s">
        <v>35</v>
      </c>
      <c r="G283" t="s">
        <v>345</v>
      </c>
      <c r="H283" s="1">
        <v>37.729999999999997</v>
      </c>
      <c r="I283" s="6">
        <v>65</v>
      </c>
      <c r="J283" s="6">
        <v>65</v>
      </c>
      <c r="K283" s="6">
        <v>39.9938</v>
      </c>
      <c r="L283">
        <v>8</v>
      </c>
      <c r="M283">
        <v>0</v>
      </c>
      <c r="N283" t="b">
        <v>0</v>
      </c>
      <c r="O283" t="b">
        <v>0</v>
      </c>
      <c r="P283" t="b">
        <v>1</v>
      </c>
    </row>
    <row r="284" spans="1:16" x14ac:dyDescent="0.45">
      <c r="A284" t="s">
        <v>457</v>
      </c>
      <c r="B284" s="2">
        <v>3003223</v>
      </c>
      <c r="D284" t="s">
        <v>401</v>
      </c>
      <c r="F284" t="s">
        <v>42</v>
      </c>
      <c r="G284" t="s">
        <v>47</v>
      </c>
      <c r="H284" s="1">
        <v>101.57</v>
      </c>
      <c r="I284" s="6">
        <v>216</v>
      </c>
      <c r="J284" s="6">
        <v>216</v>
      </c>
      <c r="K284" s="6">
        <v>107.66419999999999</v>
      </c>
      <c r="L284">
        <v>8</v>
      </c>
      <c r="M284">
        <v>0</v>
      </c>
      <c r="N284" t="b">
        <v>0</v>
      </c>
      <c r="O284" t="b">
        <v>0</v>
      </c>
      <c r="P284" t="b">
        <v>1</v>
      </c>
    </row>
    <row r="285" spans="1:16" x14ac:dyDescent="0.45">
      <c r="A285" t="s">
        <v>458</v>
      </c>
      <c r="B285" s="2">
        <v>3000735</v>
      </c>
      <c r="D285" t="s">
        <v>416</v>
      </c>
      <c r="F285" t="s">
        <v>339</v>
      </c>
      <c r="G285" t="s">
        <v>459</v>
      </c>
      <c r="H285" s="1">
        <v>11.59</v>
      </c>
      <c r="I285" s="6">
        <v>13.75</v>
      </c>
      <c r="J285" s="6">
        <v>13.75</v>
      </c>
      <c r="K285" s="6">
        <v>12.285399999999999</v>
      </c>
      <c r="L285">
        <v>8</v>
      </c>
      <c r="M285">
        <v>0</v>
      </c>
      <c r="N285" t="b">
        <v>0</v>
      </c>
      <c r="O285" t="b">
        <v>0</v>
      </c>
      <c r="P285" t="b">
        <v>1</v>
      </c>
    </row>
    <row r="286" spans="1:16" x14ac:dyDescent="0.45">
      <c r="A286" t="s">
        <v>460</v>
      </c>
      <c r="B286" s="2">
        <v>6000075</v>
      </c>
      <c r="D286" t="s">
        <v>34</v>
      </c>
      <c r="F286" t="s">
        <v>42</v>
      </c>
      <c r="G286" t="s">
        <v>65</v>
      </c>
      <c r="H286" s="1">
        <v>75</v>
      </c>
      <c r="I286" s="6">
        <v>356.4</v>
      </c>
      <c r="J286" s="6">
        <v>356.4</v>
      </c>
      <c r="K286" s="6">
        <v>79.5</v>
      </c>
      <c r="L286">
        <v>8</v>
      </c>
      <c r="M286">
        <v>0</v>
      </c>
      <c r="N286" t="b">
        <v>0</v>
      </c>
      <c r="O286" t="b">
        <v>0</v>
      </c>
      <c r="P286" t="b">
        <v>1</v>
      </c>
    </row>
    <row r="287" spans="1:16" x14ac:dyDescent="0.45">
      <c r="A287" t="s">
        <v>461</v>
      </c>
      <c r="B287" s="2">
        <v>230</v>
      </c>
      <c r="D287" t="s">
        <v>41</v>
      </c>
      <c r="F287" t="s">
        <v>35</v>
      </c>
      <c r="G287" t="s">
        <v>462</v>
      </c>
      <c r="H287" s="1">
        <v>37.44</v>
      </c>
      <c r="I287" s="6">
        <v>64.8</v>
      </c>
      <c r="J287" s="6">
        <v>64.8</v>
      </c>
      <c r="K287" s="6">
        <v>39.686399999999999</v>
      </c>
      <c r="L287">
        <v>8</v>
      </c>
      <c r="M287">
        <v>0</v>
      </c>
      <c r="N287" t="b">
        <v>0</v>
      </c>
      <c r="O287" t="b">
        <v>0</v>
      </c>
      <c r="P287" t="b">
        <v>1</v>
      </c>
    </row>
    <row r="288" spans="1:16" x14ac:dyDescent="0.45">
      <c r="A288" t="s">
        <v>463</v>
      </c>
      <c r="B288" s="2">
        <v>6000076</v>
      </c>
      <c r="D288" t="s">
        <v>34</v>
      </c>
      <c r="F288" t="s">
        <v>51</v>
      </c>
      <c r="G288" t="s">
        <v>65</v>
      </c>
      <c r="H288" s="1">
        <v>8</v>
      </c>
      <c r="I288" s="6">
        <v>70</v>
      </c>
      <c r="J288" s="6">
        <v>70</v>
      </c>
      <c r="K288" s="6">
        <v>8.48</v>
      </c>
      <c r="L288">
        <v>0</v>
      </c>
      <c r="M288">
        <v>0</v>
      </c>
      <c r="N288" t="b">
        <v>0</v>
      </c>
      <c r="O288" t="b">
        <v>0</v>
      </c>
      <c r="P288" t="b">
        <v>1</v>
      </c>
    </row>
    <row r="289" spans="1:16" x14ac:dyDescent="0.45">
      <c r="A289" t="s">
        <v>464</v>
      </c>
      <c r="B289" s="2">
        <v>3000107</v>
      </c>
      <c r="D289" t="s">
        <v>67</v>
      </c>
      <c r="F289" t="s">
        <v>42</v>
      </c>
      <c r="G289" t="s">
        <v>60</v>
      </c>
      <c r="H289" s="1">
        <v>20.578499999999998</v>
      </c>
      <c r="I289" s="6">
        <v>55.555554999999998</v>
      </c>
      <c r="J289" s="6">
        <v>50</v>
      </c>
      <c r="K289" s="6">
        <v>21.813210000000002</v>
      </c>
      <c r="L289">
        <v>8</v>
      </c>
      <c r="M289">
        <v>100</v>
      </c>
      <c r="N289" t="b">
        <v>0</v>
      </c>
      <c r="O289" t="b">
        <v>0</v>
      </c>
      <c r="P289" t="b">
        <v>1</v>
      </c>
    </row>
    <row r="290" spans="1:16" x14ac:dyDescent="0.45">
      <c r="A290" t="s">
        <v>465</v>
      </c>
      <c r="B290" s="2">
        <v>6000077</v>
      </c>
      <c r="D290" t="s">
        <v>34</v>
      </c>
      <c r="F290" t="s">
        <v>42</v>
      </c>
      <c r="G290" t="s">
        <v>68</v>
      </c>
      <c r="H290" s="1">
        <v>20.239999999999998</v>
      </c>
      <c r="I290" s="6">
        <v>62</v>
      </c>
      <c r="J290" s="6">
        <v>62</v>
      </c>
      <c r="K290" s="6">
        <v>21.4544</v>
      </c>
      <c r="L290">
        <v>8</v>
      </c>
      <c r="M290">
        <v>0</v>
      </c>
      <c r="N290" t="b">
        <v>0</v>
      </c>
      <c r="O290" t="b">
        <v>0</v>
      </c>
      <c r="P290" t="b">
        <v>1</v>
      </c>
    </row>
    <row r="291" spans="1:16" x14ac:dyDescent="0.45">
      <c r="A291" t="s">
        <v>466</v>
      </c>
      <c r="B291" s="2">
        <v>6000078</v>
      </c>
      <c r="D291" t="s">
        <v>34</v>
      </c>
      <c r="F291" t="s">
        <v>42</v>
      </c>
      <c r="G291" t="s">
        <v>65</v>
      </c>
      <c r="H291" s="1">
        <v>85</v>
      </c>
      <c r="I291" s="6">
        <v>113.4</v>
      </c>
      <c r="J291" s="6">
        <v>113.4</v>
      </c>
      <c r="K291" s="6">
        <v>90.1</v>
      </c>
      <c r="L291">
        <v>8</v>
      </c>
      <c r="M291">
        <v>0</v>
      </c>
      <c r="N291" t="b">
        <v>0</v>
      </c>
      <c r="O291" t="b">
        <v>0</v>
      </c>
      <c r="P291" t="b">
        <v>1</v>
      </c>
    </row>
    <row r="292" spans="1:16" x14ac:dyDescent="0.45">
      <c r="A292" t="s">
        <v>467</v>
      </c>
      <c r="B292" s="2">
        <v>49</v>
      </c>
      <c r="D292" t="s">
        <v>41</v>
      </c>
      <c r="F292" t="s">
        <v>42</v>
      </c>
      <c r="G292" t="s">
        <v>43</v>
      </c>
      <c r="H292" s="1">
        <v>20.77</v>
      </c>
      <c r="I292" s="6">
        <v>30</v>
      </c>
      <c r="J292" s="6">
        <v>30</v>
      </c>
      <c r="K292" s="6">
        <v>22.016200000000001</v>
      </c>
      <c r="L292">
        <v>8</v>
      </c>
      <c r="M292">
        <v>0</v>
      </c>
      <c r="N292" t="b">
        <v>0</v>
      </c>
      <c r="O292" t="b">
        <v>0</v>
      </c>
      <c r="P292" t="b">
        <v>1</v>
      </c>
    </row>
    <row r="293" spans="1:16" x14ac:dyDescent="0.45">
      <c r="A293" t="s">
        <v>468</v>
      </c>
      <c r="B293" s="2">
        <v>6000079</v>
      </c>
      <c r="D293" t="s">
        <v>34</v>
      </c>
      <c r="F293" t="s">
        <v>42</v>
      </c>
      <c r="G293" t="s">
        <v>65</v>
      </c>
      <c r="H293" s="1">
        <v>680</v>
      </c>
      <c r="I293" s="6">
        <v>1188</v>
      </c>
      <c r="J293" s="6">
        <v>1188</v>
      </c>
      <c r="K293" s="6">
        <v>720.8</v>
      </c>
      <c r="L293">
        <v>8</v>
      </c>
      <c r="M293">
        <v>0</v>
      </c>
      <c r="N293" t="b">
        <v>0</v>
      </c>
      <c r="O293" t="b">
        <v>0</v>
      </c>
      <c r="P293" t="b">
        <v>1</v>
      </c>
    </row>
    <row r="294" spans="1:16" x14ac:dyDescent="0.45">
      <c r="A294" t="s">
        <v>469</v>
      </c>
      <c r="B294" s="2">
        <v>6000080</v>
      </c>
      <c r="D294" t="s">
        <v>34</v>
      </c>
      <c r="F294" t="s">
        <v>35</v>
      </c>
      <c r="G294" t="s">
        <v>72</v>
      </c>
      <c r="H294" s="1">
        <v>10</v>
      </c>
      <c r="I294" s="6">
        <v>19.37</v>
      </c>
      <c r="J294" s="6">
        <v>19.37</v>
      </c>
      <c r="K294" s="6">
        <v>10.6</v>
      </c>
      <c r="L294">
        <v>8</v>
      </c>
      <c r="M294">
        <v>0</v>
      </c>
      <c r="N294" t="b">
        <v>0</v>
      </c>
      <c r="O294" t="b">
        <v>0</v>
      </c>
      <c r="P294" t="b">
        <v>1</v>
      </c>
    </row>
    <row r="295" spans="1:16" x14ac:dyDescent="0.45">
      <c r="A295" t="s">
        <v>470</v>
      </c>
      <c r="B295" s="2">
        <v>6000081</v>
      </c>
      <c r="C295" t="s">
        <v>33</v>
      </c>
      <c r="D295" t="s">
        <v>34</v>
      </c>
      <c r="E295" s="5" t="s">
        <v>33</v>
      </c>
      <c r="F295" t="s">
        <v>42</v>
      </c>
      <c r="G295" t="s">
        <v>68</v>
      </c>
      <c r="H295" s="1">
        <v>35</v>
      </c>
      <c r="I295" s="6">
        <v>62</v>
      </c>
      <c r="J295" s="6">
        <v>62</v>
      </c>
      <c r="K295" s="6">
        <v>37.1</v>
      </c>
      <c r="L295">
        <v>8</v>
      </c>
      <c r="M295">
        <v>0</v>
      </c>
      <c r="N295" t="b">
        <v>0</v>
      </c>
      <c r="O295" t="b">
        <v>0</v>
      </c>
      <c r="P295" t="b">
        <v>1</v>
      </c>
    </row>
    <row r="296" spans="1:16" x14ac:dyDescent="0.45">
      <c r="A296" t="s">
        <v>471</v>
      </c>
      <c r="B296" s="2">
        <v>1008163</v>
      </c>
      <c r="D296" t="s">
        <v>67</v>
      </c>
      <c r="F296" t="s">
        <v>42</v>
      </c>
      <c r="G296" t="s">
        <v>60</v>
      </c>
      <c r="H296" s="1">
        <v>19.538779999999999</v>
      </c>
      <c r="I296" s="6">
        <v>55.555554999999998</v>
      </c>
      <c r="J296" s="6">
        <v>50</v>
      </c>
      <c r="K296" s="6">
        <v>20.7111068</v>
      </c>
      <c r="L296">
        <v>8</v>
      </c>
      <c r="M296">
        <v>100</v>
      </c>
      <c r="N296" t="b">
        <v>0</v>
      </c>
      <c r="O296" t="b">
        <v>0</v>
      </c>
      <c r="P296" t="b">
        <v>1</v>
      </c>
    </row>
    <row r="297" spans="1:16" x14ac:dyDescent="0.45">
      <c r="A297" t="s">
        <v>472</v>
      </c>
      <c r="B297" s="2">
        <v>6000176</v>
      </c>
      <c r="D297" t="s">
        <v>34</v>
      </c>
      <c r="F297" t="s">
        <v>51</v>
      </c>
      <c r="G297" t="s">
        <v>473</v>
      </c>
      <c r="H297" s="1">
        <v>0</v>
      </c>
      <c r="I297" s="6">
        <v>150</v>
      </c>
      <c r="J297" s="6">
        <v>150</v>
      </c>
      <c r="K297" s="6">
        <v>150</v>
      </c>
      <c r="L297">
        <v>8</v>
      </c>
      <c r="M297">
        <v>0</v>
      </c>
      <c r="N297" t="b">
        <v>0</v>
      </c>
      <c r="O297" t="b">
        <v>0</v>
      </c>
      <c r="P297" t="b">
        <v>1</v>
      </c>
    </row>
    <row r="298" spans="1:16" x14ac:dyDescent="0.45">
      <c r="A298" t="s">
        <v>474</v>
      </c>
      <c r="B298" s="2">
        <v>3003427</v>
      </c>
      <c r="D298" t="s">
        <v>416</v>
      </c>
      <c r="E298" s="5" t="s">
        <v>1075</v>
      </c>
      <c r="F298" t="s">
        <v>159</v>
      </c>
      <c r="G298" t="s">
        <v>475</v>
      </c>
      <c r="H298" s="1">
        <v>61.51</v>
      </c>
      <c r="I298" s="6">
        <v>115.7407</v>
      </c>
      <c r="J298" s="6">
        <v>111.111</v>
      </c>
      <c r="K298" s="6">
        <v>65.200599999999994</v>
      </c>
      <c r="L298">
        <v>8</v>
      </c>
      <c r="M298">
        <v>0</v>
      </c>
      <c r="N298" t="b">
        <v>0</v>
      </c>
      <c r="O298" t="b">
        <v>0</v>
      </c>
      <c r="P298" t="b">
        <v>1</v>
      </c>
    </row>
    <row r="299" spans="1:16" x14ac:dyDescent="0.45">
      <c r="A299" t="s">
        <v>476</v>
      </c>
      <c r="B299" s="2">
        <v>1008022</v>
      </c>
      <c r="D299" t="s">
        <v>67</v>
      </c>
      <c r="F299" t="s">
        <v>42</v>
      </c>
      <c r="G299" t="s">
        <v>239</v>
      </c>
      <c r="H299" s="1">
        <v>31.10501</v>
      </c>
      <c r="I299" s="6">
        <v>62.5</v>
      </c>
      <c r="J299" s="6">
        <v>62.5</v>
      </c>
      <c r="K299" s="6">
        <v>32.971310600000002</v>
      </c>
      <c r="L299">
        <v>8</v>
      </c>
      <c r="M299">
        <v>50</v>
      </c>
      <c r="N299" t="b">
        <v>0</v>
      </c>
      <c r="O299" t="b">
        <v>0</v>
      </c>
      <c r="P299" t="b">
        <v>1</v>
      </c>
    </row>
    <row r="300" spans="1:16" x14ac:dyDescent="0.45">
      <c r="A300" t="s">
        <v>477</v>
      </c>
      <c r="B300" s="2">
        <v>3003494</v>
      </c>
      <c r="D300" t="s">
        <v>41</v>
      </c>
      <c r="F300" t="s">
        <v>42</v>
      </c>
      <c r="G300" t="s">
        <v>47</v>
      </c>
      <c r="H300" s="1">
        <v>347.13</v>
      </c>
      <c r="I300" s="6">
        <v>425.92590000000001</v>
      </c>
      <c r="J300" s="6">
        <v>416.67</v>
      </c>
      <c r="K300" s="6">
        <v>367.95780000000002</v>
      </c>
      <c r="L300">
        <v>8</v>
      </c>
      <c r="M300">
        <v>0</v>
      </c>
      <c r="N300" t="b">
        <v>0</v>
      </c>
      <c r="O300" t="b">
        <v>0</v>
      </c>
      <c r="P300" t="b">
        <v>1</v>
      </c>
    </row>
    <row r="301" spans="1:16" x14ac:dyDescent="0.45">
      <c r="A301" t="s">
        <v>478</v>
      </c>
      <c r="B301" s="2">
        <v>300807</v>
      </c>
      <c r="D301" t="s">
        <v>41</v>
      </c>
      <c r="F301" t="s">
        <v>51</v>
      </c>
      <c r="G301" t="s">
        <v>86</v>
      </c>
      <c r="H301" s="1">
        <v>221.37</v>
      </c>
      <c r="I301" s="6">
        <v>425.92590000000001</v>
      </c>
      <c r="J301" s="6">
        <v>416.67</v>
      </c>
      <c r="K301" s="6">
        <v>234.65219999999999</v>
      </c>
      <c r="L301">
        <v>8</v>
      </c>
      <c r="M301">
        <v>0</v>
      </c>
      <c r="N301" t="b">
        <v>0</v>
      </c>
      <c r="O301" t="b">
        <v>0</v>
      </c>
      <c r="P301" t="b">
        <v>1</v>
      </c>
    </row>
    <row r="302" spans="1:16" x14ac:dyDescent="0.45">
      <c r="A302" t="s">
        <v>479</v>
      </c>
      <c r="B302" s="2">
        <v>3000095</v>
      </c>
      <c r="D302" t="s">
        <v>41</v>
      </c>
      <c r="F302" t="s">
        <v>38</v>
      </c>
      <c r="G302" t="s">
        <v>86</v>
      </c>
      <c r="H302" s="1">
        <v>169.5</v>
      </c>
      <c r="I302" s="6">
        <v>264.27999999999997</v>
      </c>
      <c r="J302" s="6">
        <v>264.27999999999997</v>
      </c>
      <c r="K302" s="6">
        <v>179.67</v>
      </c>
      <c r="L302">
        <v>8</v>
      </c>
      <c r="M302">
        <v>0</v>
      </c>
      <c r="N302" t="b">
        <v>0</v>
      </c>
      <c r="O302" t="b">
        <v>0</v>
      </c>
      <c r="P302" t="b">
        <v>1</v>
      </c>
    </row>
    <row r="303" spans="1:16" x14ac:dyDescent="0.45">
      <c r="A303" t="s">
        <v>480</v>
      </c>
      <c r="B303" s="2">
        <v>642</v>
      </c>
      <c r="D303" t="s">
        <v>34</v>
      </c>
      <c r="F303" t="s">
        <v>339</v>
      </c>
      <c r="G303" t="s">
        <v>481</v>
      </c>
      <c r="H303" s="1">
        <v>21.25</v>
      </c>
      <c r="I303" s="6">
        <v>50</v>
      </c>
      <c r="J303" s="6">
        <v>50</v>
      </c>
      <c r="K303" s="6">
        <v>22.524999999999999</v>
      </c>
      <c r="L303">
        <v>8</v>
      </c>
      <c r="M303">
        <v>0</v>
      </c>
      <c r="N303" t="b">
        <v>0</v>
      </c>
      <c r="O303" t="b">
        <v>0</v>
      </c>
      <c r="P303" t="b">
        <v>1</v>
      </c>
    </row>
    <row r="304" spans="1:16" x14ac:dyDescent="0.45">
      <c r="A304" t="s">
        <v>482</v>
      </c>
      <c r="B304" s="2">
        <v>6000082</v>
      </c>
      <c r="D304" t="s">
        <v>34</v>
      </c>
      <c r="F304" t="s">
        <v>42</v>
      </c>
      <c r="G304" t="s">
        <v>65</v>
      </c>
      <c r="H304" s="1">
        <v>60</v>
      </c>
      <c r="I304" s="6">
        <v>81</v>
      </c>
      <c r="J304" s="6">
        <v>81</v>
      </c>
      <c r="K304" s="6">
        <v>63.6</v>
      </c>
      <c r="L304">
        <v>8</v>
      </c>
      <c r="M304">
        <v>0</v>
      </c>
      <c r="N304" t="b">
        <v>0</v>
      </c>
      <c r="O304" t="b">
        <v>0</v>
      </c>
      <c r="P304" t="b">
        <v>1</v>
      </c>
    </row>
    <row r="305" spans="1:16" x14ac:dyDescent="0.45">
      <c r="A305" t="s">
        <v>483</v>
      </c>
      <c r="B305" s="2">
        <v>3000027</v>
      </c>
      <c r="D305" t="s">
        <v>41</v>
      </c>
      <c r="F305" t="s">
        <v>159</v>
      </c>
      <c r="G305" t="s">
        <v>317</v>
      </c>
      <c r="H305" s="1">
        <v>46.697479999999999</v>
      </c>
      <c r="I305" s="6">
        <v>92.592590000000001</v>
      </c>
      <c r="J305" s="6">
        <v>84.88</v>
      </c>
      <c r="K305" s="6">
        <v>49.499328800000001</v>
      </c>
      <c r="L305">
        <v>8</v>
      </c>
      <c r="M305">
        <v>120</v>
      </c>
      <c r="N305" t="b">
        <v>0</v>
      </c>
      <c r="O305" t="b">
        <v>0</v>
      </c>
      <c r="P305" t="b">
        <v>1</v>
      </c>
    </row>
    <row r="306" spans="1:16" x14ac:dyDescent="0.45">
      <c r="A306" t="s">
        <v>484</v>
      </c>
      <c r="B306" s="2">
        <v>6000083</v>
      </c>
      <c r="D306" t="s">
        <v>34</v>
      </c>
      <c r="F306" t="s">
        <v>42</v>
      </c>
      <c r="G306" t="s">
        <v>65</v>
      </c>
      <c r="H306" s="1">
        <v>350</v>
      </c>
      <c r="I306" s="6">
        <v>486</v>
      </c>
      <c r="J306" s="6">
        <v>486</v>
      </c>
      <c r="K306" s="6">
        <v>371</v>
      </c>
      <c r="L306">
        <v>8</v>
      </c>
      <c r="M306">
        <v>0</v>
      </c>
      <c r="N306" t="b">
        <v>0</v>
      </c>
      <c r="O306" t="b">
        <v>0</v>
      </c>
      <c r="P306" t="b">
        <v>1</v>
      </c>
    </row>
    <row r="307" spans="1:16" x14ac:dyDescent="0.45">
      <c r="A307" t="s">
        <v>485</v>
      </c>
      <c r="B307" s="2">
        <v>3003411</v>
      </c>
      <c r="C307" t="s">
        <v>33</v>
      </c>
      <c r="D307" t="s">
        <v>486</v>
      </c>
      <c r="E307" s="5" t="s">
        <v>581</v>
      </c>
      <c r="F307" t="s">
        <v>38</v>
      </c>
      <c r="G307" t="s">
        <v>487</v>
      </c>
      <c r="H307" s="1">
        <v>111.46</v>
      </c>
      <c r="I307" s="6">
        <v>240.74</v>
      </c>
      <c r="J307" s="6">
        <v>240</v>
      </c>
      <c r="K307" s="6">
        <v>225</v>
      </c>
      <c r="L307">
        <v>8</v>
      </c>
      <c r="M307">
        <v>0</v>
      </c>
      <c r="N307" t="b">
        <v>0</v>
      </c>
      <c r="O307" t="b">
        <v>0</v>
      </c>
      <c r="P307" t="b">
        <v>1</v>
      </c>
    </row>
    <row r="308" spans="1:16" x14ac:dyDescent="0.45">
      <c r="A308" t="s">
        <v>488</v>
      </c>
      <c r="B308" s="2">
        <v>3003412</v>
      </c>
      <c r="C308" t="s">
        <v>33</v>
      </c>
      <c r="D308" t="s">
        <v>486</v>
      </c>
      <c r="E308" s="5" t="s">
        <v>581</v>
      </c>
      <c r="F308" t="s">
        <v>38</v>
      </c>
      <c r="G308" t="s">
        <v>487</v>
      </c>
      <c r="H308" s="1">
        <v>104.74</v>
      </c>
      <c r="I308" s="6">
        <v>212.96</v>
      </c>
      <c r="J308" s="6">
        <v>210</v>
      </c>
      <c r="K308" s="6">
        <v>210</v>
      </c>
      <c r="L308">
        <v>8</v>
      </c>
      <c r="M308">
        <v>0</v>
      </c>
      <c r="N308" t="b">
        <v>0</v>
      </c>
      <c r="O308" t="b">
        <v>0</v>
      </c>
      <c r="P308" t="b">
        <v>1</v>
      </c>
    </row>
    <row r="309" spans="1:16" x14ac:dyDescent="0.45">
      <c r="A309" t="s">
        <v>489</v>
      </c>
      <c r="B309" s="2">
        <v>3000657</v>
      </c>
      <c r="D309" t="s">
        <v>41</v>
      </c>
      <c r="F309" t="s">
        <v>35</v>
      </c>
      <c r="G309" t="s">
        <v>490</v>
      </c>
      <c r="H309" s="1">
        <v>75.569999999999993</v>
      </c>
      <c r="I309" s="6">
        <v>175.92590000000001</v>
      </c>
      <c r="J309" s="6">
        <v>169.76</v>
      </c>
      <c r="K309" s="6">
        <v>80.104200000000006</v>
      </c>
      <c r="L309">
        <v>8</v>
      </c>
      <c r="M309">
        <v>60</v>
      </c>
      <c r="N309" t="b">
        <v>0</v>
      </c>
      <c r="O309" t="b">
        <v>0</v>
      </c>
      <c r="P309" t="b">
        <v>1</v>
      </c>
    </row>
    <row r="310" spans="1:16" x14ac:dyDescent="0.45">
      <c r="A310" t="s">
        <v>491</v>
      </c>
      <c r="B310" s="2">
        <v>1007260</v>
      </c>
      <c r="D310" t="s">
        <v>41</v>
      </c>
      <c r="F310" t="s">
        <v>35</v>
      </c>
      <c r="G310" t="s">
        <v>492</v>
      </c>
      <c r="H310" s="1">
        <v>25.812000000000001</v>
      </c>
      <c r="I310" s="6">
        <v>45.83</v>
      </c>
      <c r="J310" s="6">
        <v>45.83</v>
      </c>
      <c r="K310" s="6">
        <v>27.360720000000001</v>
      </c>
      <c r="L310">
        <v>8</v>
      </c>
      <c r="M310">
        <v>0</v>
      </c>
      <c r="N310" t="b">
        <v>0</v>
      </c>
      <c r="O310" t="b">
        <v>0</v>
      </c>
      <c r="P310" t="b">
        <v>1</v>
      </c>
    </row>
    <row r="311" spans="1:16" x14ac:dyDescent="0.45">
      <c r="A311" t="s">
        <v>493</v>
      </c>
      <c r="B311" s="2">
        <v>6000084</v>
      </c>
      <c r="D311" t="s">
        <v>34</v>
      </c>
      <c r="F311" t="s">
        <v>171</v>
      </c>
      <c r="G311" t="s">
        <v>494</v>
      </c>
      <c r="H311" s="1">
        <v>333.33</v>
      </c>
      <c r="I311" s="6">
        <v>432</v>
      </c>
      <c r="J311" s="6">
        <v>432</v>
      </c>
      <c r="K311" s="6">
        <v>353.32979999999998</v>
      </c>
      <c r="L311">
        <v>8</v>
      </c>
      <c r="M311">
        <v>0</v>
      </c>
      <c r="N311" t="b">
        <v>0</v>
      </c>
      <c r="O311" t="b">
        <v>0</v>
      </c>
      <c r="P311" t="b">
        <v>1</v>
      </c>
    </row>
    <row r="312" spans="1:16" x14ac:dyDescent="0.45">
      <c r="A312" t="s">
        <v>495</v>
      </c>
      <c r="B312" s="2">
        <v>652</v>
      </c>
      <c r="D312" t="s">
        <v>41</v>
      </c>
      <c r="F312" t="s">
        <v>38</v>
      </c>
      <c r="G312" t="s">
        <v>47</v>
      </c>
      <c r="H312" s="1">
        <v>176.53</v>
      </c>
      <c r="I312" s="6">
        <v>270</v>
      </c>
      <c r="J312" s="6">
        <v>270</v>
      </c>
      <c r="K312" s="6">
        <v>187.12180000000001</v>
      </c>
      <c r="L312">
        <v>8</v>
      </c>
      <c r="M312">
        <v>0</v>
      </c>
      <c r="N312" t="b">
        <v>0</v>
      </c>
      <c r="O312" t="b">
        <v>0</v>
      </c>
      <c r="P312" t="b">
        <v>1</v>
      </c>
    </row>
    <row r="313" spans="1:16" x14ac:dyDescent="0.45">
      <c r="A313" t="s">
        <v>496</v>
      </c>
      <c r="B313" s="2">
        <v>3000056</v>
      </c>
      <c r="D313" t="s">
        <v>41</v>
      </c>
      <c r="F313" t="s">
        <v>159</v>
      </c>
      <c r="G313" t="s">
        <v>497</v>
      </c>
      <c r="H313" s="1">
        <v>70.896000000000001</v>
      </c>
      <c r="I313" s="6">
        <v>129.6</v>
      </c>
      <c r="J313" s="6">
        <v>129.6</v>
      </c>
      <c r="K313" s="6">
        <v>75.149760000000001</v>
      </c>
      <c r="L313">
        <v>8</v>
      </c>
      <c r="M313">
        <v>60</v>
      </c>
      <c r="N313" t="b">
        <v>0</v>
      </c>
      <c r="O313" t="b">
        <v>0</v>
      </c>
      <c r="P313" t="b">
        <v>1</v>
      </c>
    </row>
    <row r="314" spans="1:16" x14ac:dyDescent="0.45">
      <c r="A314" t="s">
        <v>498</v>
      </c>
      <c r="B314" s="2">
        <v>3003340</v>
      </c>
      <c r="D314" t="s">
        <v>41</v>
      </c>
      <c r="F314" t="s">
        <v>42</v>
      </c>
      <c r="G314" t="s">
        <v>47</v>
      </c>
      <c r="H314" s="1">
        <v>143.31</v>
      </c>
      <c r="I314" s="6">
        <v>216</v>
      </c>
      <c r="J314" s="6">
        <v>216</v>
      </c>
      <c r="K314" s="6">
        <v>151.90860000000001</v>
      </c>
      <c r="L314">
        <v>8</v>
      </c>
      <c r="M314">
        <v>0</v>
      </c>
      <c r="N314" t="b">
        <v>0</v>
      </c>
      <c r="O314" t="b">
        <v>0</v>
      </c>
      <c r="P314" t="b">
        <v>1</v>
      </c>
    </row>
    <row r="315" spans="1:16" x14ac:dyDescent="0.45">
      <c r="A315" t="s">
        <v>499</v>
      </c>
      <c r="B315" s="2">
        <v>6000085</v>
      </c>
      <c r="D315" t="s">
        <v>34</v>
      </c>
      <c r="F315" t="s">
        <v>42</v>
      </c>
      <c r="G315" t="s">
        <v>65</v>
      </c>
      <c r="H315" s="1">
        <v>165</v>
      </c>
      <c r="I315" s="6">
        <v>270</v>
      </c>
      <c r="J315" s="6">
        <v>270</v>
      </c>
      <c r="K315" s="6">
        <v>174.9</v>
      </c>
      <c r="L315">
        <v>8</v>
      </c>
      <c r="M315">
        <v>0</v>
      </c>
      <c r="N315" t="b">
        <v>0</v>
      </c>
      <c r="O315" t="b">
        <v>0</v>
      </c>
      <c r="P315" t="b">
        <v>1</v>
      </c>
    </row>
    <row r="316" spans="1:16" x14ac:dyDescent="0.45">
      <c r="A316" t="s">
        <v>500</v>
      </c>
      <c r="B316" s="2">
        <v>6000086</v>
      </c>
      <c r="D316" t="s">
        <v>34</v>
      </c>
      <c r="F316" t="s">
        <v>42</v>
      </c>
      <c r="G316" t="s">
        <v>65</v>
      </c>
      <c r="H316" s="1">
        <v>75</v>
      </c>
      <c r="I316" s="6">
        <v>97.2</v>
      </c>
      <c r="J316" s="6">
        <v>97.2</v>
      </c>
      <c r="K316" s="6">
        <v>79.5</v>
      </c>
      <c r="L316">
        <v>8</v>
      </c>
      <c r="M316">
        <v>0</v>
      </c>
      <c r="N316" t="b">
        <v>0</v>
      </c>
      <c r="O316" t="b">
        <v>0</v>
      </c>
      <c r="P316" t="b">
        <v>1</v>
      </c>
    </row>
    <row r="317" spans="1:16" x14ac:dyDescent="0.45">
      <c r="A317" t="s">
        <v>501</v>
      </c>
      <c r="B317" s="2">
        <v>3000334</v>
      </c>
      <c r="D317" t="s">
        <v>502</v>
      </c>
      <c r="F317" t="s">
        <v>42</v>
      </c>
      <c r="G317" t="s">
        <v>65</v>
      </c>
      <c r="H317" s="1">
        <v>139.85</v>
      </c>
      <c r="I317" s="6">
        <v>259.2</v>
      </c>
      <c r="J317" s="6">
        <v>259.2</v>
      </c>
      <c r="K317" s="6">
        <v>148.24100000000001</v>
      </c>
      <c r="L317">
        <v>8</v>
      </c>
      <c r="M317">
        <v>0</v>
      </c>
      <c r="N317" t="b">
        <v>0</v>
      </c>
      <c r="O317" t="b">
        <v>0</v>
      </c>
      <c r="P317" t="b">
        <v>1</v>
      </c>
    </row>
    <row r="318" spans="1:16" x14ac:dyDescent="0.45">
      <c r="A318" t="s">
        <v>503</v>
      </c>
      <c r="B318" s="2">
        <v>3000335</v>
      </c>
      <c r="D318" t="s">
        <v>502</v>
      </c>
      <c r="F318" t="s">
        <v>42</v>
      </c>
      <c r="G318" t="s">
        <v>65</v>
      </c>
      <c r="H318" s="1">
        <v>139.85</v>
      </c>
      <c r="I318" s="6">
        <v>260</v>
      </c>
      <c r="J318" s="6">
        <v>260</v>
      </c>
      <c r="K318" s="6">
        <v>148.24100000000001</v>
      </c>
      <c r="L318">
        <v>8</v>
      </c>
      <c r="M318">
        <v>0</v>
      </c>
      <c r="N318" t="b">
        <v>0</v>
      </c>
      <c r="O318" t="b">
        <v>0</v>
      </c>
      <c r="P318" t="b">
        <v>1</v>
      </c>
    </row>
    <row r="319" spans="1:16" x14ac:dyDescent="0.45">
      <c r="A319" t="s">
        <v>504</v>
      </c>
      <c r="B319" s="2">
        <v>1008130</v>
      </c>
      <c r="D319" t="s">
        <v>502</v>
      </c>
      <c r="F319" t="s">
        <v>42</v>
      </c>
      <c r="G319" t="s">
        <v>65</v>
      </c>
      <c r="H319" s="1">
        <v>144.32</v>
      </c>
      <c r="I319" s="6">
        <v>280</v>
      </c>
      <c r="J319" s="6">
        <v>280</v>
      </c>
      <c r="K319" s="6">
        <v>152.97919999999999</v>
      </c>
      <c r="L319">
        <v>8</v>
      </c>
      <c r="M319">
        <v>50</v>
      </c>
      <c r="N319" t="b">
        <v>0</v>
      </c>
      <c r="O319" t="b">
        <v>0</v>
      </c>
      <c r="P319" t="b">
        <v>1</v>
      </c>
    </row>
    <row r="320" spans="1:16" x14ac:dyDescent="0.45">
      <c r="A320" t="s">
        <v>505</v>
      </c>
      <c r="B320" s="2">
        <v>6000087</v>
      </c>
      <c r="D320" t="s">
        <v>34</v>
      </c>
      <c r="F320" t="s">
        <v>42</v>
      </c>
      <c r="G320" t="s">
        <v>65</v>
      </c>
      <c r="H320" s="1">
        <v>280</v>
      </c>
      <c r="I320" s="6">
        <v>378</v>
      </c>
      <c r="J320" s="6">
        <v>378</v>
      </c>
      <c r="K320" s="6">
        <v>296.8</v>
      </c>
      <c r="L320">
        <v>8</v>
      </c>
      <c r="M320">
        <v>0</v>
      </c>
      <c r="N320" t="b">
        <v>0</v>
      </c>
      <c r="O320" t="b">
        <v>0</v>
      </c>
      <c r="P320" t="b">
        <v>1</v>
      </c>
    </row>
    <row r="321" spans="1:16" x14ac:dyDescent="0.45">
      <c r="A321" t="s">
        <v>506</v>
      </c>
      <c r="B321" s="2">
        <v>1008629</v>
      </c>
      <c r="D321" t="s">
        <v>502</v>
      </c>
      <c r="F321" t="s">
        <v>42</v>
      </c>
      <c r="G321" t="s">
        <v>65</v>
      </c>
      <c r="H321" s="1">
        <v>149.04801</v>
      </c>
      <c r="I321" s="6">
        <v>280</v>
      </c>
      <c r="J321" s="6">
        <v>280</v>
      </c>
      <c r="K321" s="6">
        <v>157.9908906</v>
      </c>
      <c r="L321">
        <v>8</v>
      </c>
      <c r="M321">
        <v>50</v>
      </c>
      <c r="N321" t="b">
        <v>0</v>
      </c>
      <c r="O321" t="b">
        <v>0</v>
      </c>
      <c r="P321" t="b">
        <v>1</v>
      </c>
    </row>
    <row r="322" spans="1:16" x14ac:dyDescent="0.45">
      <c r="A322" t="s">
        <v>507</v>
      </c>
      <c r="B322" s="2">
        <v>1008605</v>
      </c>
      <c r="D322" t="s">
        <v>502</v>
      </c>
      <c r="F322" t="s">
        <v>42</v>
      </c>
      <c r="G322" t="s">
        <v>65</v>
      </c>
      <c r="H322" s="1">
        <v>179.10149999999999</v>
      </c>
      <c r="I322" s="6">
        <v>340</v>
      </c>
      <c r="J322" s="6">
        <v>340</v>
      </c>
      <c r="K322" s="6">
        <v>189.84759</v>
      </c>
      <c r="L322">
        <v>8</v>
      </c>
      <c r="M322">
        <v>100</v>
      </c>
      <c r="N322" t="b">
        <v>0</v>
      </c>
      <c r="O322" t="b">
        <v>0</v>
      </c>
      <c r="P322" t="b">
        <v>1</v>
      </c>
    </row>
    <row r="323" spans="1:16" x14ac:dyDescent="0.45">
      <c r="A323" t="s">
        <v>508</v>
      </c>
      <c r="B323" s="2">
        <v>1010375</v>
      </c>
      <c r="D323" t="s">
        <v>502</v>
      </c>
      <c r="F323" t="s">
        <v>42</v>
      </c>
      <c r="G323" t="s">
        <v>65</v>
      </c>
      <c r="H323" s="1">
        <v>257.56434999999999</v>
      </c>
      <c r="I323" s="6">
        <v>500</v>
      </c>
      <c r="J323" s="6">
        <v>500</v>
      </c>
      <c r="K323" s="6">
        <v>273.01821100000001</v>
      </c>
      <c r="L323">
        <v>8</v>
      </c>
      <c r="M323">
        <v>20</v>
      </c>
      <c r="N323" t="b">
        <v>0</v>
      </c>
      <c r="O323" t="b">
        <v>0</v>
      </c>
      <c r="P323" t="b">
        <v>1</v>
      </c>
    </row>
    <row r="324" spans="1:16" x14ac:dyDescent="0.45">
      <c r="A324" t="s">
        <v>509</v>
      </c>
      <c r="B324" s="2">
        <v>535</v>
      </c>
      <c r="D324" t="s">
        <v>502</v>
      </c>
      <c r="F324" t="s">
        <v>42</v>
      </c>
      <c r="G324" t="s">
        <v>65</v>
      </c>
      <c r="H324" s="1">
        <v>441.28</v>
      </c>
      <c r="I324" s="6">
        <v>864</v>
      </c>
      <c r="J324" s="6">
        <v>864</v>
      </c>
      <c r="K324" s="6">
        <v>467.7568</v>
      </c>
      <c r="L324">
        <v>8</v>
      </c>
      <c r="M324">
        <v>0</v>
      </c>
      <c r="N324" t="b">
        <v>0</v>
      </c>
      <c r="O324" t="b">
        <v>0</v>
      </c>
      <c r="P324" t="b">
        <v>1</v>
      </c>
    </row>
    <row r="325" spans="1:16" x14ac:dyDescent="0.45">
      <c r="A325" t="s">
        <v>510</v>
      </c>
      <c r="B325" s="2">
        <v>201</v>
      </c>
      <c r="D325" t="s">
        <v>502</v>
      </c>
      <c r="F325" t="s">
        <v>42</v>
      </c>
      <c r="G325" t="s">
        <v>65</v>
      </c>
      <c r="H325" s="1">
        <v>124.66</v>
      </c>
      <c r="I325" s="6">
        <v>237.6</v>
      </c>
      <c r="J325" s="6">
        <v>237.6</v>
      </c>
      <c r="K325" s="6">
        <v>132.1396</v>
      </c>
      <c r="L325">
        <v>8</v>
      </c>
      <c r="M325">
        <v>0</v>
      </c>
      <c r="N325" t="b">
        <v>0</v>
      </c>
      <c r="O325" t="b">
        <v>0</v>
      </c>
      <c r="P325" t="b">
        <v>1</v>
      </c>
    </row>
    <row r="326" spans="1:16" x14ac:dyDescent="0.45">
      <c r="A326" t="s">
        <v>511</v>
      </c>
      <c r="B326" s="2">
        <v>1101103</v>
      </c>
      <c r="D326" t="s">
        <v>502</v>
      </c>
      <c r="F326" t="s">
        <v>42</v>
      </c>
      <c r="G326" t="s">
        <v>65</v>
      </c>
      <c r="H326" s="1">
        <v>157.10015000000001</v>
      </c>
      <c r="I326" s="6">
        <v>302.39999999999998</v>
      </c>
      <c r="J326" s="6">
        <v>302.39999999999998</v>
      </c>
      <c r="K326" s="6">
        <v>166.52615900000001</v>
      </c>
      <c r="L326">
        <v>8</v>
      </c>
      <c r="M326">
        <v>50</v>
      </c>
      <c r="N326" t="b">
        <v>0</v>
      </c>
      <c r="O326" t="b">
        <v>0</v>
      </c>
      <c r="P326" t="b">
        <v>1</v>
      </c>
    </row>
    <row r="327" spans="1:16" x14ac:dyDescent="0.45">
      <c r="A327" t="s">
        <v>512</v>
      </c>
      <c r="B327" s="2">
        <v>6000187</v>
      </c>
      <c r="D327" t="s">
        <v>34</v>
      </c>
      <c r="F327" t="s">
        <v>51</v>
      </c>
      <c r="G327" t="s">
        <v>513</v>
      </c>
      <c r="H327" s="1">
        <v>7.25</v>
      </c>
      <c r="I327" s="6">
        <v>16.2</v>
      </c>
      <c r="J327" s="6">
        <v>16.2</v>
      </c>
      <c r="K327" s="6">
        <v>7.6849999999999996</v>
      </c>
      <c r="L327">
        <v>8</v>
      </c>
      <c r="M327">
        <v>0</v>
      </c>
      <c r="N327" t="b">
        <v>0</v>
      </c>
      <c r="O327" t="b">
        <v>0</v>
      </c>
      <c r="P327" t="b">
        <v>1</v>
      </c>
    </row>
    <row r="328" spans="1:16" x14ac:dyDescent="0.45">
      <c r="A328" t="s">
        <v>514</v>
      </c>
      <c r="B328" s="2">
        <v>6000088</v>
      </c>
      <c r="D328" t="s">
        <v>34</v>
      </c>
      <c r="F328" t="s">
        <v>42</v>
      </c>
      <c r="G328" t="s">
        <v>65</v>
      </c>
      <c r="H328" s="1">
        <v>95</v>
      </c>
      <c r="I328" s="6">
        <v>162</v>
      </c>
      <c r="J328" s="6">
        <v>162</v>
      </c>
      <c r="K328" s="6">
        <v>100.7</v>
      </c>
      <c r="L328">
        <v>8</v>
      </c>
      <c r="M328">
        <v>0</v>
      </c>
      <c r="N328" t="b">
        <v>0</v>
      </c>
      <c r="O328" t="b">
        <v>0</v>
      </c>
      <c r="P328" t="b">
        <v>1</v>
      </c>
    </row>
    <row r="329" spans="1:16" x14ac:dyDescent="0.45">
      <c r="A329" t="s">
        <v>515</v>
      </c>
      <c r="B329" s="2">
        <v>6000089</v>
      </c>
      <c r="D329" t="s">
        <v>34</v>
      </c>
      <c r="F329" t="s">
        <v>42</v>
      </c>
      <c r="G329" t="s">
        <v>65</v>
      </c>
      <c r="H329" s="1">
        <v>212.2</v>
      </c>
      <c r="I329" s="6">
        <v>183.6</v>
      </c>
      <c r="J329" s="6">
        <v>183.6</v>
      </c>
      <c r="K329" s="6">
        <v>224.93199999999999</v>
      </c>
      <c r="L329">
        <v>8</v>
      </c>
      <c r="M329">
        <v>0</v>
      </c>
      <c r="N329" t="b">
        <v>0</v>
      </c>
      <c r="O329" t="b">
        <v>0</v>
      </c>
      <c r="P329" t="b">
        <v>1</v>
      </c>
    </row>
    <row r="330" spans="1:16" x14ac:dyDescent="0.45">
      <c r="A330" t="s">
        <v>516</v>
      </c>
      <c r="B330" s="2">
        <v>6000090</v>
      </c>
      <c r="D330" t="s">
        <v>34</v>
      </c>
      <c r="F330" t="s">
        <v>42</v>
      </c>
      <c r="G330" t="s">
        <v>65</v>
      </c>
      <c r="H330" s="1">
        <v>101.85</v>
      </c>
      <c r="I330" s="6">
        <v>108</v>
      </c>
      <c r="J330" s="6">
        <v>108</v>
      </c>
      <c r="K330" s="6">
        <v>107.961</v>
      </c>
      <c r="L330">
        <v>8</v>
      </c>
      <c r="M330">
        <v>0</v>
      </c>
      <c r="N330" t="b">
        <v>0</v>
      </c>
      <c r="O330" t="b">
        <v>0</v>
      </c>
      <c r="P330" t="b">
        <v>1</v>
      </c>
    </row>
    <row r="331" spans="1:16" x14ac:dyDescent="0.45">
      <c r="A331" t="s">
        <v>517</v>
      </c>
      <c r="B331" s="2">
        <v>6000091</v>
      </c>
      <c r="D331" t="s">
        <v>34</v>
      </c>
      <c r="F331" t="s">
        <v>42</v>
      </c>
      <c r="G331" t="s">
        <v>65</v>
      </c>
      <c r="H331" s="1">
        <v>30</v>
      </c>
      <c r="I331" s="6">
        <v>54</v>
      </c>
      <c r="J331" s="6">
        <v>54</v>
      </c>
      <c r="K331" s="6">
        <v>31.8</v>
      </c>
      <c r="L331">
        <v>8</v>
      </c>
      <c r="M331">
        <v>0</v>
      </c>
      <c r="N331" t="b">
        <v>0</v>
      </c>
      <c r="O331" t="b">
        <v>0</v>
      </c>
      <c r="P331" t="b">
        <v>1</v>
      </c>
    </row>
    <row r="332" spans="1:16" x14ac:dyDescent="0.45">
      <c r="A332" t="s">
        <v>518</v>
      </c>
      <c r="B332" s="2">
        <v>6000151</v>
      </c>
      <c r="D332" t="s">
        <v>34</v>
      </c>
      <c r="F332" t="s">
        <v>38</v>
      </c>
      <c r="G332" t="s">
        <v>519</v>
      </c>
      <c r="H332" s="1">
        <v>70</v>
      </c>
      <c r="I332" s="6">
        <v>95</v>
      </c>
      <c r="J332" s="6">
        <v>95</v>
      </c>
      <c r="K332" s="6">
        <v>74.2</v>
      </c>
      <c r="L332">
        <v>8</v>
      </c>
      <c r="M332">
        <v>0</v>
      </c>
      <c r="N332" t="b">
        <v>0</v>
      </c>
      <c r="O332" t="b">
        <v>0</v>
      </c>
      <c r="P332" t="b">
        <v>1</v>
      </c>
    </row>
    <row r="333" spans="1:16" x14ac:dyDescent="0.45">
      <c r="A333" t="s">
        <v>520</v>
      </c>
      <c r="B333" s="2">
        <v>6000188</v>
      </c>
      <c r="D333" t="s">
        <v>34</v>
      </c>
      <c r="F333" t="s">
        <v>51</v>
      </c>
      <c r="H333" s="1">
        <v>1.7</v>
      </c>
      <c r="I333" s="6">
        <v>2.27</v>
      </c>
      <c r="J333" s="6">
        <v>2.27</v>
      </c>
      <c r="K333" s="6">
        <v>1.802</v>
      </c>
      <c r="L333">
        <v>8</v>
      </c>
      <c r="M333">
        <v>0</v>
      </c>
      <c r="N333" t="b">
        <v>0</v>
      </c>
      <c r="O333" t="b">
        <v>0</v>
      </c>
      <c r="P333" t="b">
        <v>1</v>
      </c>
    </row>
    <row r="334" spans="1:16" x14ac:dyDescent="0.45">
      <c r="A334" t="s">
        <v>521</v>
      </c>
      <c r="B334" s="2" t="s">
        <v>522</v>
      </c>
      <c r="F334" t="s">
        <v>58</v>
      </c>
      <c r="H334" s="1">
        <v>0</v>
      </c>
      <c r="I334" s="6">
        <v>80</v>
      </c>
      <c r="J334" s="6">
        <v>80</v>
      </c>
      <c r="K334" s="6">
        <v>80</v>
      </c>
      <c r="L334">
        <v>0</v>
      </c>
      <c r="M334">
        <v>0</v>
      </c>
      <c r="N334" t="b">
        <v>0</v>
      </c>
      <c r="O334" t="b">
        <v>0</v>
      </c>
      <c r="P334" t="b">
        <v>1</v>
      </c>
    </row>
    <row r="335" spans="1:16" x14ac:dyDescent="0.45">
      <c r="A335" t="s">
        <v>523</v>
      </c>
      <c r="B335" s="2">
        <v>6000152</v>
      </c>
      <c r="D335" t="s">
        <v>34</v>
      </c>
      <c r="F335" t="s">
        <v>35</v>
      </c>
      <c r="G335" t="s">
        <v>524</v>
      </c>
      <c r="H335" s="1">
        <v>15.66</v>
      </c>
      <c r="I335" s="6">
        <v>30.24</v>
      </c>
      <c r="J335" s="6">
        <v>30.24</v>
      </c>
      <c r="K335" s="6">
        <v>16.599599999999999</v>
      </c>
      <c r="L335">
        <v>8</v>
      </c>
      <c r="M335">
        <v>0</v>
      </c>
      <c r="N335" t="b">
        <v>0</v>
      </c>
      <c r="O335" t="b">
        <v>0</v>
      </c>
      <c r="P335" t="b">
        <v>1</v>
      </c>
    </row>
    <row r="336" spans="1:16" x14ac:dyDescent="0.45">
      <c r="A336" t="s">
        <v>525</v>
      </c>
      <c r="B336" s="2">
        <v>6000153</v>
      </c>
      <c r="D336" t="s">
        <v>34</v>
      </c>
      <c r="F336" t="s">
        <v>42</v>
      </c>
      <c r="G336" t="s">
        <v>65</v>
      </c>
      <c r="H336" s="1">
        <v>5</v>
      </c>
      <c r="I336" s="6">
        <v>8.64</v>
      </c>
      <c r="J336" s="6">
        <v>8.64</v>
      </c>
      <c r="K336" s="6">
        <v>5.3</v>
      </c>
      <c r="L336">
        <v>8</v>
      </c>
      <c r="M336">
        <v>0</v>
      </c>
      <c r="N336" t="b">
        <v>0</v>
      </c>
      <c r="O336" t="b">
        <v>0</v>
      </c>
      <c r="P336" t="b">
        <v>1</v>
      </c>
    </row>
    <row r="337" spans="1:16" x14ac:dyDescent="0.45">
      <c r="A337" t="s">
        <v>526</v>
      </c>
      <c r="B337" s="2">
        <v>6000177</v>
      </c>
      <c r="D337" t="s">
        <v>34</v>
      </c>
      <c r="F337" t="s">
        <v>159</v>
      </c>
      <c r="G337" t="s">
        <v>395</v>
      </c>
      <c r="H337" s="1">
        <v>38.58</v>
      </c>
      <c r="I337" s="6">
        <v>140.4</v>
      </c>
      <c r="J337" s="6">
        <v>140.4</v>
      </c>
      <c r="K337" s="6">
        <v>40.894799999999996</v>
      </c>
      <c r="L337">
        <v>8</v>
      </c>
      <c r="M337">
        <v>0</v>
      </c>
      <c r="N337" t="b">
        <v>0</v>
      </c>
      <c r="O337" t="b">
        <v>0</v>
      </c>
      <c r="P337" t="b">
        <v>1</v>
      </c>
    </row>
    <row r="338" spans="1:16" x14ac:dyDescent="0.45">
      <c r="A338" t="s">
        <v>527</v>
      </c>
      <c r="B338" s="2">
        <v>6000093</v>
      </c>
      <c r="D338" t="s">
        <v>34</v>
      </c>
      <c r="F338" t="s">
        <v>42</v>
      </c>
      <c r="G338" t="s">
        <v>65</v>
      </c>
      <c r="H338" s="1">
        <v>65</v>
      </c>
      <c r="I338" s="6">
        <v>86.4</v>
      </c>
      <c r="J338" s="6">
        <v>86.4</v>
      </c>
      <c r="K338" s="6">
        <v>68.900000000000006</v>
      </c>
      <c r="L338">
        <v>8</v>
      </c>
      <c r="M338">
        <v>0</v>
      </c>
      <c r="N338" t="b">
        <v>0</v>
      </c>
      <c r="O338" t="b">
        <v>0</v>
      </c>
      <c r="P338" t="b">
        <v>1</v>
      </c>
    </row>
    <row r="339" spans="1:16" x14ac:dyDescent="0.45">
      <c r="A339" t="s">
        <v>528</v>
      </c>
      <c r="B339" s="2">
        <v>6000094</v>
      </c>
      <c r="D339" t="s">
        <v>34</v>
      </c>
      <c r="F339" t="s">
        <v>42</v>
      </c>
      <c r="G339" t="s">
        <v>65</v>
      </c>
      <c r="H339" s="1">
        <v>90</v>
      </c>
      <c r="I339" s="6">
        <v>129.6</v>
      </c>
      <c r="J339" s="6">
        <v>129.6</v>
      </c>
      <c r="K339" s="6">
        <v>95.4</v>
      </c>
      <c r="L339">
        <v>8</v>
      </c>
      <c r="M339">
        <v>0</v>
      </c>
      <c r="N339" t="b">
        <v>0</v>
      </c>
      <c r="O339" t="b">
        <v>0</v>
      </c>
      <c r="P339" t="b">
        <v>1</v>
      </c>
    </row>
    <row r="340" spans="1:16" x14ac:dyDescent="0.45">
      <c r="A340" t="s">
        <v>529</v>
      </c>
      <c r="B340" s="2">
        <v>3000326</v>
      </c>
      <c r="D340" t="s">
        <v>41</v>
      </c>
      <c r="F340" t="s">
        <v>159</v>
      </c>
      <c r="G340" t="s">
        <v>530</v>
      </c>
      <c r="H340" s="1">
        <v>24.13</v>
      </c>
      <c r="I340" s="6">
        <v>45.83</v>
      </c>
      <c r="J340" s="6">
        <v>45.83</v>
      </c>
      <c r="K340" s="6">
        <v>25.5778</v>
      </c>
      <c r="L340">
        <v>8</v>
      </c>
      <c r="M340">
        <v>0</v>
      </c>
      <c r="N340" t="b">
        <v>0</v>
      </c>
      <c r="O340" t="b">
        <v>0</v>
      </c>
      <c r="P340" t="b">
        <v>1</v>
      </c>
    </row>
    <row r="341" spans="1:16" x14ac:dyDescent="0.45">
      <c r="A341" t="s">
        <v>531</v>
      </c>
      <c r="B341" s="2">
        <v>1009161</v>
      </c>
      <c r="D341" t="s">
        <v>41</v>
      </c>
      <c r="E341" s="5" t="s">
        <v>1077</v>
      </c>
      <c r="F341" t="s">
        <v>159</v>
      </c>
      <c r="G341" t="s">
        <v>532</v>
      </c>
      <c r="H341" s="1">
        <v>63.517380000000003</v>
      </c>
      <c r="I341" s="6">
        <v>125</v>
      </c>
      <c r="J341" s="6">
        <v>117.28</v>
      </c>
      <c r="K341" s="6">
        <v>67.328422799999998</v>
      </c>
      <c r="L341">
        <v>8</v>
      </c>
      <c r="M341">
        <v>30</v>
      </c>
      <c r="N341" t="b">
        <v>0</v>
      </c>
      <c r="O341" t="b">
        <v>0</v>
      </c>
      <c r="P341" t="b">
        <v>1</v>
      </c>
    </row>
    <row r="342" spans="1:16" x14ac:dyDescent="0.45">
      <c r="A342" t="s">
        <v>533</v>
      </c>
      <c r="B342" s="2">
        <v>362</v>
      </c>
      <c r="C342" t="s">
        <v>33</v>
      </c>
      <c r="D342" t="s">
        <v>34</v>
      </c>
      <c r="E342" s="5" t="s">
        <v>534</v>
      </c>
      <c r="F342" t="s">
        <v>42</v>
      </c>
      <c r="G342" t="s">
        <v>43</v>
      </c>
      <c r="H342" s="1">
        <v>46</v>
      </c>
      <c r="I342" s="6">
        <v>53.33</v>
      </c>
      <c r="J342" s="6">
        <v>53.33</v>
      </c>
      <c r="K342" s="6">
        <v>64.8</v>
      </c>
      <c r="L342">
        <v>8</v>
      </c>
      <c r="M342">
        <v>0</v>
      </c>
      <c r="N342" t="b">
        <v>0</v>
      </c>
      <c r="O342" t="b">
        <v>0</v>
      </c>
      <c r="P342" t="b">
        <v>1</v>
      </c>
    </row>
    <row r="343" spans="1:16" x14ac:dyDescent="0.45">
      <c r="A343" t="s">
        <v>535</v>
      </c>
      <c r="B343" s="2">
        <v>550</v>
      </c>
      <c r="D343" t="s">
        <v>67</v>
      </c>
      <c r="F343" t="s">
        <v>42</v>
      </c>
      <c r="G343" t="s">
        <v>440</v>
      </c>
      <c r="H343" s="1">
        <v>29.7</v>
      </c>
      <c r="I343" s="6">
        <v>48.6</v>
      </c>
      <c r="J343" s="6">
        <v>48.6</v>
      </c>
      <c r="K343" s="6">
        <v>31.481999999999999</v>
      </c>
      <c r="L343">
        <v>8</v>
      </c>
      <c r="M343">
        <v>20</v>
      </c>
      <c r="N343" t="b">
        <v>0</v>
      </c>
      <c r="O343" t="b">
        <v>0</v>
      </c>
      <c r="P343" t="b">
        <v>1</v>
      </c>
    </row>
    <row r="344" spans="1:16" x14ac:dyDescent="0.45">
      <c r="A344" t="s">
        <v>536</v>
      </c>
      <c r="B344" s="2">
        <v>1072327</v>
      </c>
      <c r="D344" t="s">
        <v>41</v>
      </c>
      <c r="F344" t="s">
        <v>38</v>
      </c>
      <c r="G344" t="s">
        <v>60</v>
      </c>
      <c r="H344" s="1">
        <v>86.16</v>
      </c>
      <c r="I344" s="6">
        <v>185.18520000000001</v>
      </c>
      <c r="J344" s="6">
        <v>170</v>
      </c>
      <c r="K344" s="6">
        <v>350.22399999999999</v>
      </c>
      <c r="L344">
        <v>8</v>
      </c>
      <c r="M344">
        <v>60</v>
      </c>
      <c r="N344" t="b">
        <v>0</v>
      </c>
      <c r="O344" t="b">
        <v>0</v>
      </c>
      <c r="P344" t="b">
        <v>1</v>
      </c>
    </row>
    <row r="345" spans="1:16" x14ac:dyDescent="0.45">
      <c r="A345" t="s">
        <v>537</v>
      </c>
      <c r="B345" s="2">
        <v>443</v>
      </c>
      <c r="D345" t="s">
        <v>41</v>
      </c>
      <c r="F345" t="s">
        <v>159</v>
      </c>
      <c r="G345" t="s">
        <v>538</v>
      </c>
      <c r="H345" s="1">
        <v>30.35</v>
      </c>
      <c r="I345" s="6">
        <v>64.8</v>
      </c>
      <c r="J345" s="6">
        <v>64.8</v>
      </c>
      <c r="K345" s="6">
        <v>32.170999999999999</v>
      </c>
      <c r="L345">
        <v>8</v>
      </c>
      <c r="M345">
        <v>0</v>
      </c>
      <c r="N345" t="b">
        <v>0</v>
      </c>
      <c r="O345" t="b">
        <v>0</v>
      </c>
      <c r="P345" t="b">
        <v>1</v>
      </c>
    </row>
    <row r="346" spans="1:16" x14ac:dyDescent="0.45">
      <c r="A346" t="s">
        <v>539</v>
      </c>
      <c r="B346" s="2">
        <v>6000095</v>
      </c>
      <c r="D346" t="s">
        <v>34</v>
      </c>
      <c r="F346" t="s">
        <v>42</v>
      </c>
      <c r="G346" t="s">
        <v>65</v>
      </c>
      <c r="H346" s="1">
        <v>60</v>
      </c>
      <c r="I346" s="6">
        <v>86.4</v>
      </c>
      <c r="J346" s="6">
        <v>86.4</v>
      </c>
      <c r="K346" s="6">
        <v>63.6</v>
      </c>
      <c r="L346">
        <v>8</v>
      </c>
      <c r="M346">
        <v>0</v>
      </c>
      <c r="N346" t="b">
        <v>0</v>
      </c>
      <c r="O346" t="b">
        <v>0</v>
      </c>
      <c r="P346" t="b">
        <v>1</v>
      </c>
    </row>
    <row r="347" spans="1:16" x14ac:dyDescent="0.45">
      <c r="A347" t="s">
        <v>540</v>
      </c>
      <c r="B347" s="2">
        <v>76</v>
      </c>
      <c r="D347" t="s">
        <v>170</v>
      </c>
      <c r="F347" t="s">
        <v>38</v>
      </c>
      <c r="G347" t="s">
        <v>541</v>
      </c>
      <c r="H347" s="1">
        <v>50.923000000000002</v>
      </c>
      <c r="I347" s="6">
        <v>91.8</v>
      </c>
      <c r="J347" s="6">
        <v>91.8</v>
      </c>
      <c r="K347" s="6">
        <v>53.978380000000001</v>
      </c>
      <c r="L347">
        <v>8</v>
      </c>
      <c r="M347">
        <v>0</v>
      </c>
      <c r="N347" t="b">
        <v>0</v>
      </c>
      <c r="O347" t="b">
        <v>0</v>
      </c>
      <c r="P347" t="b">
        <v>1</v>
      </c>
    </row>
    <row r="348" spans="1:16" x14ac:dyDescent="0.45">
      <c r="A348" t="s">
        <v>542</v>
      </c>
      <c r="B348" s="2">
        <v>223</v>
      </c>
      <c r="D348" t="s">
        <v>170</v>
      </c>
      <c r="F348" t="s">
        <v>38</v>
      </c>
      <c r="G348" t="s">
        <v>317</v>
      </c>
      <c r="H348" s="1">
        <v>28.57</v>
      </c>
      <c r="I348" s="6">
        <v>41</v>
      </c>
      <c r="J348" s="6">
        <v>41</v>
      </c>
      <c r="K348" s="6">
        <v>30.284199999999998</v>
      </c>
      <c r="L348">
        <v>8</v>
      </c>
      <c r="M348">
        <v>0</v>
      </c>
      <c r="N348" t="b">
        <v>0</v>
      </c>
      <c r="O348" t="b">
        <v>0</v>
      </c>
      <c r="P348" t="b">
        <v>1</v>
      </c>
    </row>
    <row r="349" spans="1:16" x14ac:dyDescent="0.45">
      <c r="A349" t="s">
        <v>543</v>
      </c>
      <c r="B349" s="2">
        <v>6000147</v>
      </c>
      <c r="D349" t="s">
        <v>34</v>
      </c>
      <c r="F349" t="s">
        <v>35</v>
      </c>
      <c r="G349" t="s">
        <v>544</v>
      </c>
      <c r="H349" s="1">
        <v>240.74</v>
      </c>
      <c r="I349" s="6">
        <v>216</v>
      </c>
      <c r="J349" s="6">
        <v>216</v>
      </c>
      <c r="K349" s="6">
        <v>255.18440000000001</v>
      </c>
      <c r="L349">
        <v>8</v>
      </c>
      <c r="M349">
        <v>0</v>
      </c>
      <c r="N349" t="b">
        <v>0</v>
      </c>
      <c r="O349" t="b">
        <v>0</v>
      </c>
      <c r="P349" t="b">
        <v>1</v>
      </c>
    </row>
    <row r="350" spans="1:16" x14ac:dyDescent="0.45">
      <c r="A350" t="s">
        <v>545</v>
      </c>
      <c r="B350" s="2">
        <v>6000148</v>
      </c>
      <c r="D350" t="s">
        <v>34</v>
      </c>
      <c r="F350" t="s">
        <v>159</v>
      </c>
      <c r="G350" t="s">
        <v>546</v>
      </c>
      <c r="H350" s="1">
        <v>4.1666699999999999</v>
      </c>
      <c r="I350" s="6">
        <v>5.52</v>
      </c>
      <c r="J350" s="6">
        <v>5.52</v>
      </c>
      <c r="K350" s="6">
        <v>4.4166702000000004</v>
      </c>
      <c r="L350">
        <v>8</v>
      </c>
      <c r="M350">
        <v>0</v>
      </c>
      <c r="N350" t="b">
        <v>0</v>
      </c>
      <c r="O350" t="b">
        <v>0</v>
      </c>
      <c r="P350" t="b">
        <v>1</v>
      </c>
    </row>
    <row r="351" spans="1:16" x14ac:dyDescent="0.45">
      <c r="A351" t="s">
        <v>547</v>
      </c>
      <c r="B351" s="2">
        <v>6000149</v>
      </c>
      <c r="D351" t="s">
        <v>34</v>
      </c>
      <c r="F351" t="s">
        <v>159</v>
      </c>
      <c r="G351" t="s">
        <v>395</v>
      </c>
      <c r="H351" s="1">
        <v>65</v>
      </c>
      <c r="I351" s="6">
        <v>86.4</v>
      </c>
      <c r="J351" s="6">
        <v>86.4</v>
      </c>
      <c r="K351" s="6">
        <v>68.900000000000006</v>
      </c>
      <c r="L351">
        <v>8</v>
      </c>
      <c r="M351">
        <v>0</v>
      </c>
      <c r="N351" t="b">
        <v>0</v>
      </c>
      <c r="O351" t="b">
        <v>0</v>
      </c>
      <c r="P351" t="b">
        <v>1</v>
      </c>
    </row>
    <row r="352" spans="1:16" x14ac:dyDescent="0.45">
      <c r="A352" t="s">
        <v>548</v>
      </c>
      <c r="B352" s="2">
        <v>6000146</v>
      </c>
      <c r="D352" t="s">
        <v>34</v>
      </c>
      <c r="F352" t="s">
        <v>159</v>
      </c>
      <c r="G352" t="s">
        <v>549</v>
      </c>
      <c r="H352" s="1">
        <v>2.1665999999999999</v>
      </c>
      <c r="I352" s="6">
        <v>3.08</v>
      </c>
      <c r="J352" s="6">
        <v>3.08</v>
      </c>
      <c r="K352" s="6">
        <v>2.2965960000000001</v>
      </c>
      <c r="L352">
        <v>8</v>
      </c>
      <c r="M352">
        <v>0</v>
      </c>
      <c r="N352" t="b">
        <v>0</v>
      </c>
      <c r="O352" t="b">
        <v>0</v>
      </c>
      <c r="P352" t="b">
        <v>1</v>
      </c>
    </row>
    <row r="353" spans="1:16" x14ac:dyDescent="0.45">
      <c r="A353" t="s">
        <v>550</v>
      </c>
      <c r="B353" s="2">
        <v>1012673</v>
      </c>
      <c r="D353" t="s">
        <v>67</v>
      </c>
      <c r="F353" t="s">
        <v>42</v>
      </c>
      <c r="G353" t="s">
        <v>60</v>
      </c>
      <c r="H353" s="1">
        <v>17.170000000000002</v>
      </c>
      <c r="I353" s="6">
        <v>55.555555554999998</v>
      </c>
      <c r="J353" s="6">
        <v>50</v>
      </c>
      <c r="K353" s="6">
        <v>18.200199999999999</v>
      </c>
      <c r="L353">
        <v>8</v>
      </c>
      <c r="M353">
        <v>100</v>
      </c>
      <c r="N353" t="b">
        <v>0</v>
      </c>
      <c r="O353" t="b">
        <v>0</v>
      </c>
      <c r="P353" t="b">
        <v>1</v>
      </c>
    </row>
    <row r="354" spans="1:16" x14ac:dyDescent="0.45">
      <c r="A354" t="s">
        <v>551</v>
      </c>
      <c r="B354" s="2">
        <v>6000096</v>
      </c>
      <c r="D354" t="s">
        <v>34</v>
      </c>
      <c r="F354" t="s">
        <v>42</v>
      </c>
      <c r="G354" t="s">
        <v>68</v>
      </c>
      <c r="H354" s="1">
        <v>34</v>
      </c>
      <c r="I354" s="6">
        <v>62</v>
      </c>
      <c r="J354" s="6">
        <v>62</v>
      </c>
      <c r="K354" s="6">
        <v>36.04</v>
      </c>
      <c r="L354">
        <v>8</v>
      </c>
      <c r="M354">
        <v>0</v>
      </c>
      <c r="N354" t="b">
        <v>0</v>
      </c>
      <c r="O354" t="b">
        <v>0</v>
      </c>
      <c r="P354" t="b">
        <v>1</v>
      </c>
    </row>
    <row r="355" spans="1:16" x14ac:dyDescent="0.45">
      <c r="A355" t="s">
        <v>552</v>
      </c>
      <c r="B355" s="2">
        <v>6000189</v>
      </c>
      <c r="D355" t="s">
        <v>34</v>
      </c>
      <c r="F355" t="s">
        <v>42</v>
      </c>
      <c r="G355" t="s">
        <v>47</v>
      </c>
      <c r="H355" s="1">
        <v>126</v>
      </c>
      <c r="I355" s="6">
        <v>162</v>
      </c>
      <c r="J355" s="6">
        <v>162</v>
      </c>
      <c r="K355" s="6">
        <v>133.56</v>
      </c>
      <c r="L355">
        <v>8</v>
      </c>
      <c r="M355">
        <v>0</v>
      </c>
      <c r="N355" t="b">
        <v>0</v>
      </c>
      <c r="O355" t="b">
        <v>0</v>
      </c>
      <c r="P355" t="b">
        <v>1</v>
      </c>
    </row>
    <row r="356" spans="1:16" x14ac:dyDescent="0.45">
      <c r="A356" t="s">
        <v>553</v>
      </c>
      <c r="B356" s="2">
        <v>127</v>
      </c>
      <c r="D356" t="s">
        <v>41</v>
      </c>
      <c r="F356" t="s">
        <v>38</v>
      </c>
      <c r="G356" t="s">
        <v>554</v>
      </c>
      <c r="H356" s="1">
        <v>64.814999999999998</v>
      </c>
      <c r="I356" s="6">
        <v>108</v>
      </c>
      <c r="J356" s="6">
        <v>108</v>
      </c>
      <c r="K356" s="6">
        <v>68.703900000000004</v>
      </c>
      <c r="L356">
        <v>8</v>
      </c>
      <c r="M356">
        <v>0</v>
      </c>
      <c r="N356" t="b">
        <v>0</v>
      </c>
      <c r="O356" t="b">
        <v>0</v>
      </c>
      <c r="P356" t="b">
        <v>1</v>
      </c>
    </row>
    <row r="357" spans="1:16" x14ac:dyDescent="0.45">
      <c r="A357" t="s">
        <v>555</v>
      </c>
      <c r="B357" s="2">
        <v>6000145</v>
      </c>
      <c r="D357" t="s">
        <v>34</v>
      </c>
      <c r="F357" t="s">
        <v>35</v>
      </c>
      <c r="G357" t="s">
        <v>72</v>
      </c>
      <c r="H357" s="1">
        <v>12.5</v>
      </c>
      <c r="I357" s="6">
        <v>18.75</v>
      </c>
      <c r="J357" s="6">
        <v>18.75</v>
      </c>
      <c r="K357" s="6">
        <v>13.25</v>
      </c>
      <c r="L357">
        <v>8</v>
      </c>
      <c r="M357">
        <v>0</v>
      </c>
      <c r="N357" t="b">
        <v>0</v>
      </c>
      <c r="O357" t="b">
        <v>0</v>
      </c>
      <c r="P357" t="b">
        <v>1</v>
      </c>
    </row>
    <row r="358" spans="1:16" x14ac:dyDescent="0.45">
      <c r="A358" t="s">
        <v>556</v>
      </c>
      <c r="B358" s="2">
        <v>3003487</v>
      </c>
      <c r="D358" t="s">
        <v>170</v>
      </c>
      <c r="E358" s="5" t="s">
        <v>1076</v>
      </c>
      <c r="F358" t="s">
        <v>171</v>
      </c>
      <c r="G358" t="s">
        <v>557</v>
      </c>
      <c r="H358" s="1">
        <v>104.01881</v>
      </c>
      <c r="I358" s="6">
        <v>259.2593</v>
      </c>
      <c r="J358" s="6">
        <v>250</v>
      </c>
      <c r="K358" s="6">
        <v>110.2599386</v>
      </c>
      <c r="L358">
        <v>8</v>
      </c>
      <c r="M358">
        <v>20</v>
      </c>
      <c r="N358" t="b">
        <v>0</v>
      </c>
      <c r="O358" t="b">
        <v>0</v>
      </c>
      <c r="P358" t="b">
        <v>1</v>
      </c>
    </row>
    <row r="359" spans="1:16" x14ac:dyDescent="0.45">
      <c r="A359" t="s">
        <v>558</v>
      </c>
      <c r="B359" s="2">
        <v>3003357</v>
      </c>
      <c r="D359" t="s">
        <v>170</v>
      </c>
      <c r="E359" s="5" t="s">
        <v>1076</v>
      </c>
      <c r="F359" t="s">
        <v>51</v>
      </c>
      <c r="G359" t="s">
        <v>559</v>
      </c>
      <c r="H359" s="1">
        <v>62.341560000000001</v>
      </c>
      <c r="I359" s="6">
        <v>115.7407</v>
      </c>
      <c r="J359" s="6">
        <v>111.11111</v>
      </c>
      <c r="K359" s="6">
        <v>66.082053599999995</v>
      </c>
      <c r="L359">
        <v>8</v>
      </c>
      <c r="M359">
        <v>100</v>
      </c>
      <c r="N359" t="b">
        <v>0</v>
      </c>
      <c r="O359" t="b">
        <v>0</v>
      </c>
      <c r="P359" t="b">
        <v>1</v>
      </c>
    </row>
    <row r="360" spans="1:16" x14ac:dyDescent="0.45">
      <c r="A360" t="s">
        <v>560</v>
      </c>
      <c r="B360" s="2">
        <v>3003346</v>
      </c>
      <c r="D360" t="s">
        <v>170</v>
      </c>
      <c r="E360" s="5" t="s">
        <v>1076</v>
      </c>
      <c r="F360" t="s">
        <v>171</v>
      </c>
      <c r="G360" t="s">
        <v>176</v>
      </c>
      <c r="H360" s="1">
        <v>112.77</v>
      </c>
      <c r="I360" s="6">
        <v>222.22219999999999</v>
      </c>
      <c r="J360" s="6">
        <v>222.22219999999999</v>
      </c>
      <c r="K360" s="6">
        <v>119.53619999999999</v>
      </c>
      <c r="L360">
        <v>8</v>
      </c>
      <c r="M360">
        <v>50</v>
      </c>
      <c r="N360" t="b">
        <v>0</v>
      </c>
      <c r="O360" t="b">
        <v>0</v>
      </c>
      <c r="P360" t="b">
        <v>1</v>
      </c>
    </row>
    <row r="361" spans="1:16" x14ac:dyDescent="0.45">
      <c r="A361" t="s">
        <v>561</v>
      </c>
      <c r="B361" s="2">
        <v>3003264</v>
      </c>
      <c r="D361" t="s">
        <v>170</v>
      </c>
      <c r="E361" s="5" t="s">
        <v>1076</v>
      </c>
      <c r="F361" t="s">
        <v>42</v>
      </c>
      <c r="G361" t="s">
        <v>60</v>
      </c>
      <c r="H361" s="1">
        <v>113.65476</v>
      </c>
      <c r="I361" s="6">
        <v>212.96</v>
      </c>
      <c r="J361" s="6">
        <v>203.7037</v>
      </c>
      <c r="K361" s="6">
        <v>120.4740456</v>
      </c>
      <c r="L361">
        <v>8</v>
      </c>
      <c r="M361">
        <v>20</v>
      </c>
      <c r="N361" t="b">
        <v>0</v>
      </c>
      <c r="O361" t="b">
        <v>0</v>
      </c>
      <c r="P361" t="b">
        <v>1</v>
      </c>
    </row>
    <row r="362" spans="1:16" x14ac:dyDescent="0.45">
      <c r="A362" t="s">
        <v>562</v>
      </c>
      <c r="B362" s="2">
        <v>3003266</v>
      </c>
      <c r="D362" t="s">
        <v>170</v>
      </c>
      <c r="E362" s="5" t="s">
        <v>1076</v>
      </c>
      <c r="F362" t="s">
        <v>51</v>
      </c>
      <c r="G362" t="s">
        <v>214</v>
      </c>
      <c r="H362" s="1">
        <v>40.601999999999997</v>
      </c>
      <c r="I362" s="6">
        <v>75</v>
      </c>
      <c r="J362" s="6">
        <v>75</v>
      </c>
      <c r="K362" s="6">
        <v>43.038119999999999</v>
      </c>
      <c r="L362">
        <v>8</v>
      </c>
      <c r="M362">
        <v>0</v>
      </c>
      <c r="N362" t="b">
        <v>0</v>
      </c>
      <c r="O362" t="b">
        <v>0</v>
      </c>
      <c r="P362" t="b">
        <v>1</v>
      </c>
    </row>
    <row r="363" spans="1:16" x14ac:dyDescent="0.45">
      <c r="A363" t="s">
        <v>563</v>
      </c>
      <c r="B363" s="2">
        <v>3003301</v>
      </c>
      <c r="D363" t="s">
        <v>170</v>
      </c>
      <c r="E363" s="5" t="s">
        <v>1076</v>
      </c>
      <c r="F363" t="s">
        <v>42</v>
      </c>
      <c r="G363" t="s">
        <v>95</v>
      </c>
      <c r="H363" s="1">
        <v>104.82204</v>
      </c>
      <c r="I363" s="6">
        <v>212.96299999999999</v>
      </c>
      <c r="J363" s="6">
        <v>203.7037</v>
      </c>
      <c r="K363" s="6">
        <v>111.1113624</v>
      </c>
      <c r="L363">
        <v>8</v>
      </c>
      <c r="M363">
        <v>60</v>
      </c>
      <c r="N363" t="b">
        <v>0</v>
      </c>
      <c r="O363" t="b">
        <v>0</v>
      </c>
      <c r="P363" t="b">
        <v>1</v>
      </c>
    </row>
    <row r="364" spans="1:16" x14ac:dyDescent="0.45">
      <c r="A364" t="s">
        <v>564</v>
      </c>
      <c r="B364" s="2">
        <v>3003270</v>
      </c>
      <c r="D364" t="s">
        <v>170</v>
      </c>
      <c r="E364" s="5" t="s">
        <v>1076</v>
      </c>
      <c r="F364" t="s">
        <v>42</v>
      </c>
      <c r="G364" t="s">
        <v>60</v>
      </c>
      <c r="H364" s="1">
        <v>109.71154</v>
      </c>
      <c r="I364" s="6">
        <v>203.7037</v>
      </c>
      <c r="J364" s="6">
        <v>194.44399999999999</v>
      </c>
      <c r="K364" s="6">
        <v>116.2942324</v>
      </c>
      <c r="L364">
        <v>8</v>
      </c>
      <c r="M364">
        <v>100</v>
      </c>
      <c r="N364" t="b">
        <v>0</v>
      </c>
      <c r="O364" t="b">
        <v>0</v>
      </c>
      <c r="P364" t="b">
        <v>1</v>
      </c>
    </row>
    <row r="365" spans="1:16" x14ac:dyDescent="0.45">
      <c r="A365" t="s">
        <v>565</v>
      </c>
      <c r="B365" s="2">
        <v>3003267</v>
      </c>
      <c r="D365" t="s">
        <v>170</v>
      </c>
      <c r="E365" s="5" t="s">
        <v>1076</v>
      </c>
      <c r="F365" t="s">
        <v>38</v>
      </c>
      <c r="G365" t="s">
        <v>214</v>
      </c>
      <c r="H365" s="1">
        <v>25.176200000000001</v>
      </c>
      <c r="I365" s="6">
        <v>50.925930000000001</v>
      </c>
      <c r="J365" s="6">
        <v>46.3</v>
      </c>
      <c r="K365" s="6">
        <v>26.686772000000001</v>
      </c>
      <c r="L365">
        <v>8</v>
      </c>
      <c r="M365">
        <v>600</v>
      </c>
      <c r="N365" t="b">
        <v>0</v>
      </c>
      <c r="O365" t="b">
        <v>0</v>
      </c>
      <c r="P365" t="b">
        <v>1</v>
      </c>
    </row>
    <row r="366" spans="1:16" x14ac:dyDescent="0.45">
      <c r="A366" t="s">
        <v>566</v>
      </c>
      <c r="B366" s="2">
        <v>3003306</v>
      </c>
      <c r="D366" t="s">
        <v>170</v>
      </c>
      <c r="E366" s="5" t="s">
        <v>1076</v>
      </c>
      <c r="F366" t="s">
        <v>38</v>
      </c>
      <c r="G366" t="s">
        <v>317</v>
      </c>
      <c r="H366" s="1">
        <v>50.32</v>
      </c>
      <c r="I366" s="6">
        <v>100</v>
      </c>
      <c r="J366" s="6">
        <v>100</v>
      </c>
      <c r="K366" s="6">
        <v>53.339199999999998</v>
      </c>
      <c r="L366">
        <v>8</v>
      </c>
      <c r="M366">
        <v>0</v>
      </c>
      <c r="N366" t="b">
        <v>0</v>
      </c>
      <c r="O366" t="b">
        <v>0</v>
      </c>
      <c r="P366" t="b">
        <v>1</v>
      </c>
    </row>
    <row r="367" spans="1:16" x14ac:dyDescent="0.45">
      <c r="A367" t="s">
        <v>567</v>
      </c>
      <c r="B367" s="2">
        <v>3003305</v>
      </c>
      <c r="D367" t="s">
        <v>170</v>
      </c>
      <c r="E367" s="5" t="s">
        <v>1076</v>
      </c>
      <c r="F367" t="s">
        <v>38</v>
      </c>
      <c r="G367" t="s">
        <v>568</v>
      </c>
      <c r="H367" s="1">
        <v>12.41</v>
      </c>
      <c r="I367" s="6">
        <v>25</v>
      </c>
      <c r="J367" s="6">
        <v>25</v>
      </c>
      <c r="K367" s="6">
        <v>13.1546</v>
      </c>
      <c r="L367">
        <v>8</v>
      </c>
      <c r="M367">
        <v>0</v>
      </c>
      <c r="N367" t="b">
        <v>0</v>
      </c>
      <c r="O367" t="b">
        <v>0</v>
      </c>
      <c r="P367" t="b">
        <v>1</v>
      </c>
    </row>
    <row r="368" spans="1:16" x14ac:dyDescent="0.45">
      <c r="A368" t="s">
        <v>569</v>
      </c>
      <c r="B368" s="2">
        <v>3003484</v>
      </c>
      <c r="D368" t="s">
        <v>170</v>
      </c>
      <c r="E368" s="5" t="s">
        <v>1076</v>
      </c>
      <c r="F368" t="s">
        <v>38</v>
      </c>
      <c r="G368" t="s">
        <v>345</v>
      </c>
      <c r="H368" s="1">
        <v>44.119889999999998</v>
      </c>
      <c r="I368" s="6">
        <v>111.11111099999999</v>
      </c>
      <c r="J368" s="6">
        <v>106.48</v>
      </c>
      <c r="K368" s="6">
        <v>46.767083399999997</v>
      </c>
      <c r="L368">
        <v>8</v>
      </c>
      <c r="M368">
        <v>20</v>
      </c>
      <c r="N368" t="b">
        <v>0</v>
      </c>
      <c r="O368" t="b">
        <v>0</v>
      </c>
      <c r="P368" t="b">
        <v>1</v>
      </c>
    </row>
    <row r="369" spans="1:16" x14ac:dyDescent="0.45">
      <c r="A369" t="s">
        <v>570</v>
      </c>
      <c r="B369" s="2">
        <v>3003274</v>
      </c>
      <c r="D369" t="s">
        <v>170</v>
      </c>
      <c r="E369" s="5" t="s">
        <v>1076</v>
      </c>
      <c r="F369" t="s">
        <v>38</v>
      </c>
      <c r="G369" t="s">
        <v>345</v>
      </c>
      <c r="H369" s="1">
        <v>48.84</v>
      </c>
      <c r="I369" s="6">
        <v>115.7407</v>
      </c>
      <c r="J369" s="6">
        <v>111.11111099999999</v>
      </c>
      <c r="K369" s="6">
        <v>51.770400000000002</v>
      </c>
      <c r="L369">
        <v>8</v>
      </c>
      <c r="M369">
        <v>120</v>
      </c>
      <c r="N369" t="b">
        <v>0</v>
      </c>
      <c r="O369" t="b">
        <v>0</v>
      </c>
      <c r="P369" t="b">
        <v>1</v>
      </c>
    </row>
    <row r="370" spans="1:16" x14ac:dyDescent="0.45">
      <c r="A370" t="s">
        <v>571</v>
      </c>
      <c r="B370" s="2">
        <v>3003307</v>
      </c>
      <c r="D370" t="s">
        <v>170</v>
      </c>
      <c r="E370" s="5" t="s">
        <v>1076</v>
      </c>
      <c r="F370" t="s">
        <v>159</v>
      </c>
      <c r="G370" t="s">
        <v>95</v>
      </c>
      <c r="H370" s="1">
        <v>118.18965</v>
      </c>
      <c r="I370" s="6">
        <v>222.22221999999999</v>
      </c>
      <c r="J370" s="6">
        <v>219.91</v>
      </c>
      <c r="K370" s="6">
        <v>125.281029</v>
      </c>
      <c r="L370">
        <v>8</v>
      </c>
      <c r="M370">
        <v>24</v>
      </c>
      <c r="N370" t="b">
        <v>0</v>
      </c>
      <c r="O370" t="b">
        <v>0</v>
      </c>
      <c r="P370" t="b">
        <v>1</v>
      </c>
    </row>
    <row r="371" spans="1:16" x14ac:dyDescent="0.45">
      <c r="A371" t="s">
        <v>572</v>
      </c>
      <c r="B371" s="2">
        <v>3000306</v>
      </c>
      <c r="D371" t="s">
        <v>170</v>
      </c>
      <c r="E371" s="5" t="s">
        <v>1076</v>
      </c>
      <c r="F371" t="s">
        <v>159</v>
      </c>
      <c r="G371" t="s">
        <v>345</v>
      </c>
      <c r="H371" s="1">
        <v>61.544750000000001</v>
      </c>
      <c r="I371" s="6">
        <v>120.3704</v>
      </c>
      <c r="J371" s="6">
        <v>114.97</v>
      </c>
      <c r="K371" s="6">
        <v>65.237435000000005</v>
      </c>
      <c r="L371">
        <v>8</v>
      </c>
      <c r="M371">
        <v>24</v>
      </c>
      <c r="N371" t="b">
        <v>0</v>
      </c>
      <c r="O371" t="b">
        <v>0</v>
      </c>
      <c r="P371" t="b">
        <v>1</v>
      </c>
    </row>
    <row r="372" spans="1:16" x14ac:dyDescent="0.45">
      <c r="A372" t="s">
        <v>573</v>
      </c>
      <c r="B372" s="2">
        <v>3003318</v>
      </c>
      <c r="D372" t="s">
        <v>170</v>
      </c>
      <c r="E372" s="5" t="s">
        <v>1076</v>
      </c>
      <c r="F372" t="s">
        <v>159</v>
      </c>
      <c r="G372" t="s">
        <v>492</v>
      </c>
      <c r="H372" s="1">
        <v>67.400000000000006</v>
      </c>
      <c r="I372" s="6">
        <v>134.2593</v>
      </c>
      <c r="J372" s="6">
        <v>129.63</v>
      </c>
      <c r="K372" s="6">
        <v>71.444000000000003</v>
      </c>
      <c r="L372">
        <v>8</v>
      </c>
      <c r="M372">
        <v>0</v>
      </c>
      <c r="N372" t="b">
        <v>0</v>
      </c>
      <c r="O372" t="b">
        <v>0</v>
      </c>
      <c r="P372" t="b">
        <v>1</v>
      </c>
    </row>
    <row r="373" spans="1:16" x14ac:dyDescent="0.45">
      <c r="A373" t="s">
        <v>575</v>
      </c>
      <c r="B373" s="2">
        <v>3003449</v>
      </c>
      <c r="D373" t="s">
        <v>486</v>
      </c>
      <c r="E373" s="5" t="s">
        <v>581</v>
      </c>
      <c r="F373" t="s">
        <v>576</v>
      </c>
      <c r="G373" t="s">
        <v>577</v>
      </c>
      <c r="H373" s="1">
        <v>6.79</v>
      </c>
      <c r="I373" s="6">
        <v>17</v>
      </c>
      <c r="J373" s="6">
        <v>18.52</v>
      </c>
      <c r="K373" s="6">
        <v>7.1974</v>
      </c>
      <c r="L373">
        <v>8</v>
      </c>
      <c r="M373">
        <v>0</v>
      </c>
      <c r="N373" t="b">
        <v>0</v>
      </c>
      <c r="O373" t="b">
        <v>0</v>
      </c>
      <c r="P373" t="b">
        <v>1</v>
      </c>
    </row>
    <row r="374" spans="1:16" x14ac:dyDescent="0.45">
      <c r="A374" t="s">
        <v>578</v>
      </c>
      <c r="B374" s="2">
        <v>3003466</v>
      </c>
      <c r="D374" t="s">
        <v>486</v>
      </c>
      <c r="E374" s="5" t="s">
        <v>581</v>
      </c>
      <c r="F374" t="s">
        <v>576</v>
      </c>
      <c r="G374" t="s">
        <v>579</v>
      </c>
      <c r="H374" s="1">
        <v>4.5266700000000002</v>
      </c>
      <c r="I374" s="6">
        <v>9.26</v>
      </c>
      <c r="J374" s="6">
        <v>8.5</v>
      </c>
      <c r="K374" s="6">
        <v>4.7982702000000002</v>
      </c>
      <c r="L374">
        <v>8</v>
      </c>
      <c r="M374">
        <v>0</v>
      </c>
      <c r="N374" t="b">
        <v>0</v>
      </c>
      <c r="O374" t="b">
        <v>0</v>
      </c>
      <c r="P374" t="b">
        <v>1</v>
      </c>
    </row>
    <row r="375" spans="1:16" x14ac:dyDescent="0.45">
      <c r="A375" t="s">
        <v>580</v>
      </c>
      <c r="B375" s="2">
        <v>3000241</v>
      </c>
      <c r="C375" t="s">
        <v>33</v>
      </c>
      <c r="D375" t="s">
        <v>486</v>
      </c>
      <c r="E375" s="5" t="s">
        <v>581</v>
      </c>
      <c r="F375" t="s">
        <v>58</v>
      </c>
      <c r="G375" t="s">
        <v>582</v>
      </c>
      <c r="H375" s="1">
        <v>6.25</v>
      </c>
      <c r="I375" s="6">
        <v>13.89</v>
      </c>
      <c r="J375" s="6">
        <v>12</v>
      </c>
      <c r="K375" s="6">
        <v>10</v>
      </c>
      <c r="L375">
        <v>8</v>
      </c>
      <c r="M375">
        <v>0</v>
      </c>
      <c r="N375" t="b">
        <v>1</v>
      </c>
      <c r="O375" t="b">
        <v>0</v>
      </c>
      <c r="P375" t="b">
        <v>1</v>
      </c>
    </row>
    <row r="376" spans="1:16" x14ac:dyDescent="0.45">
      <c r="A376" t="s">
        <v>583</v>
      </c>
      <c r="B376" s="2">
        <v>3003241</v>
      </c>
      <c r="D376" t="s">
        <v>486</v>
      </c>
      <c r="E376" s="5" t="s">
        <v>581</v>
      </c>
      <c r="F376" t="s">
        <v>576</v>
      </c>
      <c r="G376" t="s">
        <v>577</v>
      </c>
      <c r="H376" s="1">
        <v>4.1870000000000003</v>
      </c>
      <c r="I376" s="6">
        <v>17</v>
      </c>
      <c r="J376" s="6">
        <v>18.5</v>
      </c>
      <c r="K376" s="6">
        <v>4.4382200000000003</v>
      </c>
      <c r="L376">
        <v>8</v>
      </c>
      <c r="M376">
        <v>0</v>
      </c>
      <c r="N376" t="b">
        <v>0</v>
      </c>
      <c r="O376" t="b">
        <v>0</v>
      </c>
      <c r="P376" t="b">
        <v>1</v>
      </c>
    </row>
    <row r="377" spans="1:16" x14ac:dyDescent="0.45">
      <c r="A377" t="s">
        <v>584</v>
      </c>
      <c r="B377" s="2">
        <v>3003516</v>
      </c>
      <c r="D377" t="s">
        <v>486</v>
      </c>
      <c r="E377" s="5" t="s">
        <v>581</v>
      </c>
      <c r="F377" t="s">
        <v>585</v>
      </c>
      <c r="G377" t="s">
        <v>586</v>
      </c>
      <c r="H377" s="1">
        <v>22.89</v>
      </c>
      <c r="I377" s="6">
        <v>41.67</v>
      </c>
      <c r="J377" s="6">
        <v>40</v>
      </c>
      <c r="K377" s="6">
        <v>24.263400000000001</v>
      </c>
      <c r="L377">
        <v>8</v>
      </c>
      <c r="M377">
        <v>0</v>
      </c>
      <c r="N377" t="b">
        <v>0</v>
      </c>
      <c r="O377" t="b">
        <v>0</v>
      </c>
      <c r="P377" t="b">
        <v>1</v>
      </c>
    </row>
    <row r="378" spans="1:16" x14ac:dyDescent="0.45">
      <c r="A378" t="s">
        <v>587</v>
      </c>
      <c r="B378" s="2">
        <v>3003517</v>
      </c>
      <c r="D378" t="s">
        <v>486</v>
      </c>
      <c r="E378" s="5" t="s">
        <v>581</v>
      </c>
      <c r="F378" t="s">
        <v>588</v>
      </c>
      <c r="G378" t="s">
        <v>589</v>
      </c>
      <c r="H378" s="1">
        <v>6.71</v>
      </c>
      <c r="I378" s="6">
        <v>13.89</v>
      </c>
      <c r="J378" s="6">
        <v>13</v>
      </c>
      <c r="K378" s="6">
        <v>7.1125999999999996</v>
      </c>
      <c r="L378">
        <v>8</v>
      </c>
      <c r="M378">
        <v>0</v>
      </c>
      <c r="N378" t="b">
        <v>0</v>
      </c>
      <c r="O378" t="b">
        <v>0</v>
      </c>
      <c r="P378" t="b">
        <v>1</v>
      </c>
    </row>
    <row r="379" spans="1:16" x14ac:dyDescent="0.45">
      <c r="A379" t="s">
        <v>590</v>
      </c>
      <c r="B379" s="2">
        <v>3003431</v>
      </c>
      <c r="D379" t="s">
        <v>486</v>
      </c>
      <c r="E379" s="5" t="s">
        <v>581</v>
      </c>
      <c r="F379" t="s">
        <v>585</v>
      </c>
      <c r="G379" t="s">
        <v>591</v>
      </c>
      <c r="H379" s="1">
        <v>36.615000000000002</v>
      </c>
      <c r="I379" s="6">
        <v>69.44</v>
      </c>
      <c r="J379" s="6">
        <v>68</v>
      </c>
      <c r="K379" s="6">
        <v>38.811900000000001</v>
      </c>
      <c r="L379">
        <v>8</v>
      </c>
      <c r="M379">
        <v>0</v>
      </c>
      <c r="N379" t="b">
        <v>0</v>
      </c>
      <c r="O379" t="b">
        <v>0</v>
      </c>
      <c r="P379" t="b">
        <v>1</v>
      </c>
    </row>
    <row r="380" spans="1:16" x14ac:dyDescent="0.45">
      <c r="A380" t="s">
        <v>592</v>
      </c>
      <c r="B380" s="2">
        <v>3003408</v>
      </c>
      <c r="D380" t="s">
        <v>486</v>
      </c>
      <c r="E380" s="5" t="s">
        <v>581</v>
      </c>
      <c r="F380" t="s">
        <v>585</v>
      </c>
      <c r="G380" t="s">
        <v>593</v>
      </c>
      <c r="H380" s="1">
        <v>109.29</v>
      </c>
      <c r="I380" s="6">
        <f>240/1.08</f>
        <v>222.2222222222222</v>
      </c>
      <c r="J380" s="6">
        <v>220</v>
      </c>
      <c r="K380" s="6">
        <v>115.84739999999999</v>
      </c>
      <c r="L380">
        <v>8</v>
      </c>
      <c r="M380">
        <v>0</v>
      </c>
      <c r="N380" t="b">
        <v>0</v>
      </c>
      <c r="O380" t="b">
        <v>0</v>
      </c>
      <c r="P380" t="b">
        <v>1</v>
      </c>
    </row>
    <row r="381" spans="1:16" x14ac:dyDescent="0.45">
      <c r="A381" t="s">
        <v>594</v>
      </c>
      <c r="B381" s="2">
        <v>3003443</v>
      </c>
      <c r="D381" t="s">
        <v>486</v>
      </c>
      <c r="E381" s="5" t="s">
        <v>581</v>
      </c>
      <c r="F381" t="s">
        <v>585</v>
      </c>
      <c r="G381" t="s">
        <v>586</v>
      </c>
      <c r="H381" s="1">
        <v>20.53</v>
      </c>
      <c r="I381" s="6">
        <v>37.04</v>
      </c>
      <c r="J381" s="6">
        <v>36</v>
      </c>
      <c r="K381" s="6">
        <v>21.761800000000001</v>
      </c>
      <c r="L381">
        <v>8</v>
      </c>
      <c r="M381">
        <v>0</v>
      </c>
      <c r="N381" t="b">
        <v>0</v>
      </c>
      <c r="O381" t="b">
        <v>0</v>
      </c>
      <c r="P381" t="b">
        <v>1</v>
      </c>
    </row>
    <row r="382" spans="1:16" x14ac:dyDescent="0.45">
      <c r="A382" t="s">
        <v>595</v>
      </c>
      <c r="B382" s="2">
        <v>3003437</v>
      </c>
      <c r="D382" t="s">
        <v>486</v>
      </c>
      <c r="E382" s="5" t="s">
        <v>581</v>
      </c>
      <c r="F382" t="s">
        <v>576</v>
      </c>
      <c r="G382" t="s">
        <v>596</v>
      </c>
      <c r="H382" s="1">
        <v>5.79</v>
      </c>
      <c r="I382" s="6">
        <v>13.89</v>
      </c>
      <c r="J382" s="6">
        <v>12</v>
      </c>
      <c r="K382" s="6">
        <v>6.1374000000000004</v>
      </c>
      <c r="L382">
        <v>8</v>
      </c>
      <c r="M382">
        <v>0</v>
      </c>
      <c r="N382" t="b">
        <v>0</v>
      </c>
      <c r="O382" t="b">
        <v>0</v>
      </c>
      <c r="P382" t="b">
        <v>1</v>
      </c>
    </row>
    <row r="383" spans="1:16" x14ac:dyDescent="0.45">
      <c r="A383" t="s">
        <v>597</v>
      </c>
      <c r="B383" s="2">
        <v>3003451</v>
      </c>
      <c r="D383" t="s">
        <v>486</v>
      </c>
      <c r="E383" s="5" t="s">
        <v>581</v>
      </c>
      <c r="F383" t="s">
        <v>588</v>
      </c>
      <c r="G383" t="s">
        <v>598</v>
      </c>
      <c r="H383" s="1">
        <v>5.56</v>
      </c>
      <c r="I383" s="6">
        <v>11.11</v>
      </c>
      <c r="J383" s="6">
        <v>10</v>
      </c>
      <c r="K383" s="6">
        <v>5.8936000000000002</v>
      </c>
      <c r="L383">
        <v>8</v>
      </c>
      <c r="M383">
        <v>0</v>
      </c>
      <c r="N383" t="b">
        <v>0</v>
      </c>
      <c r="O383" t="b">
        <v>0</v>
      </c>
      <c r="P383" t="b">
        <v>1</v>
      </c>
    </row>
    <row r="384" spans="1:16" x14ac:dyDescent="0.45">
      <c r="A384" t="s">
        <v>599</v>
      </c>
      <c r="B384" s="2">
        <v>3003367</v>
      </c>
      <c r="D384" t="s">
        <v>486</v>
      </c>
      <c r="E384" s="5" t="s">
        <v>581</v>
      </c>
      <c r="F384" t="s">
        <v>585</v>
      </c>
      <c r="G384" t="s">
        <v>591</v>
      </c>
      <c r="H384" s="1">
        <v>42.682499999999997</v>
      </c>
      <c r="I384" s="6">
        <v>74.069999999999993</v>
      </c>
      <c r="J384" s="6">
        <v>74</v>
      </c>
      <c r="K384" s="6">
        <v>45.243450000000003</v>
      </c>
      <c r="L384">
        <v>8</v>
      </c>
      <c r="M384">
        <v>0</v>
      </c>
      <c r="N384" t="b">
        <v>0</v>
      </c>
      <c r="O384" t="b">
        <v>0</v>
      </c>
      <c r="P384" t="b">
        <v>1</v>
      </c>
    </row>
    <row r="385" spans="1:16" x14ac:dyDescent="0.45">
      <c r="A385" t="s">
        <v>600</v>
      </c>
      <c r="B385" s="2">
        <v>3003432</v>
      </c>
      <c r="D385" t="s">
        <v>486</v>
      </c>
      <c r="E385" s="5" t="s">
        <v>581</v>
      </c>
      <c r="F385" t="s">
        <v>585</v>
      </c>
      <c r="G385" t="s">
        <v>591</v>
      </c>
      <c r="H385" s="1">
        <v>42.63167</v>
      </c>
      <c r="I385" s="6">
        <v>74.069999999999993</v>
      </c>
      <c r="J385" s="6">
        <v>74</v>
      </c>
      <c r="K385" s="6">
        <v>45.189570199999999</v>
      </c>
      <c r="L385">
        <v>8</v>
      </c>
      <c r="M385">
        <v>0</v>
      </c>
      <c r="N385" t="b">
        <v>0</v>
      </c>
      <c r="O385" t="b">
        <v>0</v>
      </c>
      <c r="P385" t="b">
        <v>1</v>
      </c>
    </row>
    <row r="386" spans="1:16" x14ac:dyDescent="0.45">
      <c r="A386" t="s">
        <v>601</v>
      </c>
      <c r="B386" s="2">
        <v>3003409</v>
      </c>
      <c r="D386" t="s">
        <v>486</v>
      </c>
      <c r="E386" s="5" t="s">
        <v>581</v>
      </c>
      <c r="F386" t="s">
        <v>585</v>
      </c>
      <c r="G386" t="s">
        <v>593</v>
      </c>
      <c r="H386" s="1">
        <v>117.98</v>
      </c>
      <c r="I386" s="6">
        <v>240.74</v>
      </c>
      <c r="J386" s="6">
        <v>240</v>
      </c>
      <c r="K386" s="6">
        <v>125.05880000000001</v>
      </c>
      <c r="L386">
        <v>8</v>
      </c>
      <c r="M386">
        <v>0</v>
      </c>
      <c r="N386" t="b">
        <v>0</v>
      </c>
      <c r="O386" t="b">
        <v>0</v>
      </c>
      <c r="P386" t="b">
        <v>1</v>
      </c>
    </row>
    <row r="387" spans="1:16" x14ac:dyDescent="0.45">
      <c r="A387" t="s">
        <v>602</v>
      </c>
      <c r="B387" s="2">
        <v>3003441</v>
      </c>
      <c r="D387" t="s">
        <v>486</v>
      </c>
      <c r="E387" s="5" t="s">
        <v>581</v>
      </c>
      <c r="F387" t="s">
        <v>585</v>
      </c>
      <c r="G387" t="s">
        <v>586</v>
      </c>
      <c r="H387" s="1">
        <v>20.52</v>
      </c>
      <c r="I387" s="6">
        <v>38.89</v>
      </c>
      <c r="J387" s="6">
        <v>38</v>
      </c>
      <c r="K387" s="6">
        <v>21.751200000000001</v>
      </c>
      <c r="L387">
        <v>8</v>
      </c>
      <c r="M387">
        <v>0</v>
      </c>
      <c r="N387" t="b">
        <v>0</v>
      </c>
      <c r="O387" t="b">
        <v>0</v>
      </c>
      <c r="P387" t="b">
        <v>1</v>
      </c>
    </row>
    <row r="388" spans="1:16" x14ac:dyDescent="0.45">
      <c r="A388" t="s">
        <v>603</v>
      </c>
      <c r="B388" s="2">
        <v>3003316</v>
      </c>
      <c r="D388" t="s">
        <v>486</v>
      </c>
      <c r="E388" s="5" t="s">
        <v>581</v>
      </c>
      <c r="F388" t="s">
        <v>585</v>
      </c>
      <c r="G388" t="s">
        <v>586</v>
      </c>
      <c r="H388" s="1">
        <v>20.55</v>
      </c>
      <c r="I388" s="6">
        <v>41.67</v>
      </c>
      <c r="J388" s="6">
        <v>40</v>
      </c>
      <c r="K388" s="6">
        <v>21.783000000000001</v>
      </c>
      <c r="L388">
        <v>8</v>
      </c>
      <c r="M388">
        <v>0</v>
      </c>
      <c r="N388" t="b">
        <v>0</v>
      </c>
      <c r="O388" t="b">
        <v>0</v>
      </c>
      <c r="P388" t="b">
        <v>1</v>
      </c>
    </row>
    <row r="389" spans="1:16" x14ac:dyDescent="0.45">
      <c r="A389" t="s">
        <v>604</v>
      </c>
      <c r="B389" s="2">
        <v>3003436</v>
      </c>
      <c r="D389" t="s">
        <v>486</v>
      </c>
      <c r="E389" s="5" t="s">
        <v>581</v>
      </c>
      <c r="F389" t="s">
        <v>576</v>
      </c>
      <c r="G389" t="s">
        <v>596</v>
      </c>
      <c r="H389" s="1">
        <v>3.8029999999999999</v>
      </c>
      <c r="I389" s="6">
        <v>13.89</v>
      </c>
      <c r="J389" s="6">
        <v>12</v>
      </c>
      <c r="K389" s="6">
        <v>4.03118</v>
      </c>
      <c r="L389">
        <v>8</v>
      </c>
      <c r="M389">
        <v>0</v>
      </c>
      <c r="N389" t="b">
        <v>0</v>
      </c>
      <c r="O389" t="b">
        <v>0</v>
      </c>
      <c r="P389" t="b">
        <v>1</v>
      </c>
    </row>
    <row r="390" spans="1:16" x14ac:dyDescent="0.45">
      <c r="A390" t="s">
        <v>605</v>
      </c>
      <c r="B390" s="2">
        <v>3003454</v>
      </c>
      <c r="D390" t="s">
        <v>486</v>
      </c>
      <c r="E390" s="5" t="s">
        <v>581</v>
      </c>
      <c r="F390" t="s">
        <v>588</v>
      </c>
      <c r="G390" t="s">
        <v>598</v>
      </c>
      <c r="H390" s="1">
        <v>5.57</v>
      </c>
      <c r="I390" s="6">
        <v>11.11</v>
      </c>
      <c r="J390" s="6">
        <v>10</v>
      </c>
      <c r="K390" s="6">
        <v>5.9042000000000003</v>
      </c>
      <c r="L390">
        <v>8</v>
      </c>
      <c r="M390">
        <v>0</v>
      </c>
      <c r="N390" t="b">
        <v>0</v>
      </c>
      <c r="O390" t="b">
        <v>0</v>
      </c>
      <c r="P390" t="b">
        <v>1</v>
      </c>
    </row>
    <row r="391" spans="1:16" x14ac:dyDescent="0.45">
      <c r="A391" t="s">
        <v>606</v>
      </c>
      <c r="B391" s="2">
        <v>3003413</v>
      </c>
      <c r="D391" t="s">
        <v>486</v>
      </c>
      <c r="E391" s="5" t="s">
        <v>581</v>
      </c>
      <c r="F391" t="s">
        <v>576</v>
      </c>
      <c r="G391" t="s">
        <v>607</v>
      </c>
      <c r="H391" s="1">
        <v>4.3250000000000002</v>
      </c>
      <c r="I391" s="6">
        <v>9.26</v>
      </c>
      <c r="J391" s="6">
        <v>8.5</v>
      </c>
      <c r="K391" s="6">
        <v>4.5845000000000002</v>
      </c>
      <c r="L391">
        <v>8</v>
      </c>
      <c r="M391">
        <v>0</v>
      </c>
      <c r="N391" t="b">
        <v>0</v>
      </c>
      <c r="O391" t="b">
        <v>0</v>
      </c>
      <c r="P391" t="b">
        <v>1</v>
      </c>
    </row>
    <row r="392" spans="1:16" x14ac:dyDescent="0.45">
      <c r="A392" t="s">
        <v>608</v>
      </c>
      <c r="B392" s="2">
        <v>3003465</v>
      </c>
      <c r="D392" t="s">
        <v>486</v>
      </c>
      <c r="E392" s="5" t="s">
        <v>581</v>
      </c>
      <c r="F392" t="s">
        <v>585</v>
      </c>
      <c r="G392" t="s">
        <v>591</v>
      </c>
      <c r="H392" s="1">
        <v>52.02</v>
      </c>
      <c r="I392" s="6">
        <f>100/1.08</f>
        <v>92.592592592592581</v>
      </c>
      <c r="J392" s="6">
        <v>90</v>
      </c>
      <c r="K392" s="6">
        <v>55.141199999999998</v>
      </c>
      <c r="L392">
        <v>8</v>
      </c>
      <c r="M392">
        <v>0</v>
      </c>
      <c r="N392" t="b">
        <v>0</v>
      </c>
      <c r="O392" t="b">
        <v>0</v>
      </c>
      <c r="P392" t="b">
        <v>1</v>
      </c>
    </row>
    <row r="393" spans="1:16" x14ac:dyDescent="0.45">
      <c r="A393" t="s">
        <v>609</v>
      </c>
      <c r="B393" s="2">
        <v>3003435</v>
      </c>
      <c r="D393" t="s">
        <v>486</v>
      </c>
      <c r="E393" s="5" t="s">
        <v>581</v>
      </c>
      <c r="F393" t="s">
        <v>585</v>
      </c>
      <c r="G393" t="s">
        <v>591</v>
      </c>
      <c r="H393" s="1">
        <v>41.765000000000001</v>
      </c>
      <c r="I393" s="6">
        <v>74.069999999999993</v>
      </c>
      <c r="J393" s="6">
        <v>74</v>
      </c>
      <c r="K393" s="6">
        <v>44.270899999999997</v>
      </c>
      <c r="L393">
        <v>8</v>
      </c>
      <c r="M393">
        <v>0</v>
      </c>
      <c r="N393" t="b">
        <v>0</v>
      </c>
      <c r="O393" t="b">
        <v>0</v>
      </c>
      <c r="P393" t="b">
        <v>1</v>
      </c>
    </row>
    <row r="394" spans="1:16" x14ac:dyDescent="0.45">
      <c r="A394" t="s">
        <v>610</v>
      </c>
      <c r="B394" s="2">
        <v>3003444</v>
      </c>
      <c r="D394" t="s">
        <v>486</v>
      </c>
      <c r="E394" s="5" t="s">
        <v>581</v>
      </c>
      <c r="F394" t="s">
        <v>588</v>
      </c>
      <c r="G394" t="s">
        <v>589</v>
      </c>
      <c r="H394" s="1">
        <v>6.1050000000000004</v>
      </c>
      <c r="I394" s="6">
        <v>13.89</v>
      </c>
      <c r="J394" s="6">
        <v>13</v>
      </c>
      <c r="K394" s="6">
        <v>6.4713000000000003</v>
      </c>
      <c r="L394">
        <v>8</v>
      </c>
      <c r="M394">
        <v>0</v>
      </c>
      <c r="N394" t="b">
        <v>0</v>
      </c>
      <c r="O394" t="b">
        <v>0</v>
      </c>
      <c r="P394" t="b">
        <v>1</v>
      </c>
    </row>
    <row r="395" spans="1:16" x14ac:dyDescent="0.45">
      <c r="A395" t="s">
        <v>611</v>
      </c>
      <c r="B395" s="2">
        <v>3003410</v>
      </c>
      <c r="D395" t="s">
        <v>486</v>
      </c>
      <c r="E395" s="5" t="s">
        <v>581</v>
      </c>
      <c r="F395" t="s">
        <v>585</v>
      </c>
      <c r="G395" t="s">
        <v>593</v>
      </c>
      <c r="H395" s="1">
        <v>128.096</v>
      </c>
      <c r="I395" s="6">
        <v>240.74</v>
      </c>
      <c r="J395" s="6">
        <v>240</v>
      </c>
      <c r="K395" s="6">
        <v>135.78175999999999</v>
      </c>
      <c r="L395">
        <v>8</v>
      </c>
      <c r="M395">
        <v>0</v>
      </c>
      <c r="N395" t="b">
        <v>0</v>
      </c>
      <c r="O395" t="b">
        <v>0</v>
      </c>
      <c r="P395" t="b">
        <v>1</v>
      </c>
    </row>
    <row r="396" spans="1:16" x14ac:dyDescent="0.45">
      <c r="A396" t="s">
        <v>612</v>
      </c>
      <c r="B396" s="2">
        <v>3003442</v>
      </c>
      <c r="D396" t="s">
        <v>486</v>
      </c>
      <c r="E396" s="5" t="s">
        <v>581</v>
      </c>
      <c r="F396" t="s">
        <v>585</v>
      </c>
      <c r="G396" t="s">
        <v>586</v>
      </c>
      <c r="H396" s="1">
        <v>21.48</v>
      </c>
      <c r="I396" s="6">
        <v>41.67</v>
      </c>
      <c r="J396" s="6">
        <v>40</v>
      </c>
      <c r="K396" s="6">
        <v>22.768799999999999</v>
      </c>
      <c r="L396">
        <v>8</v>
      </c>
      <c r="M396">
        <v>0</v>
      </c>
      <c r="N396" t="b">
        <v>0</v>
      </c>
      <c r="O396" t="b">
        <v>0</v>
      </c>
      <c r="P396" t="b">
        <v>1</v>
      </c>
    </row>
    <row r="397" spans="1:16" x14ac:dyDescent="0.45">
      <c r="A397" t="s">
        <v>613</v>
      </c>
      <c r="B397" s="2">
        <v>3003458</v>
      </c>
      <c r="D397" t="s">
        <v>486</v>
      </c>
      <c r="E397" s="5" t="s">
        <v>581</v>
      </c>
      <c r="F397" t="s">
        <v>576</v>
      </c>
      <c r="G397" t="s">
        <v>614</v>
      </c>
      <c r="H397" s="1">
        <v>6.94</v>
      </c>
      <c r="I397" s="6">
        <v>23.15</v>
      </c>
      <c r="J397" s="6">
        <v>19</v>
      </c>
      <c r="K397" s="6">
        <v>7.3563999999999998</v>
      </c>
      <c r="L397">
        <v>8</v>
      </c>
      <c r="M397">
        <v>0</v>
      </c>
      <c r="N397" t="b">
        <v>0</v>
      </c>
      <c r="O397" t="b">
        <v>0</v>
      </c>
      <c r="P397" t="b">
        <v>1</v>
      </c>
    </row>
    <row r="398" spans="1:16" x14ac:dyDescent="0.45">
      <c r="A398" t="s">
        <v>615</v>
      </c>
      <c r="B398" s="2">
        <v>3003457</v>
      </c>
      <c r="D398" t="s">
        <v>486</v>
      </c>
      <c r="E398" s="5" t="s">
        <v>581</v>
      </c>
      <c r="F398" t="s">
        <v>576</v>
      </c>
      <c r="G398" t="s">
        <v>614</v>
      </c>
      <c r="H398" s="1">
        <v>6.95</v>
      </c>
      <c r="I398" s="6">
        <v>23.15</v>
      </c>
      <c r="J398" s="6">
        <v>19</v>
      </c>
      <c r="K398" s="6">
        <v>7.367</v>
      </c>
      <c r="L398">
        <v>8</v>
      </c>
      <c r="M398">
        <v>0</v>
      </c>
      <c r="N398" t="b">
        <v>0</v>
      </c>
      <c r="O398" t="b">
        <v>0</v>
      </c>
      <c r="P398" t="b">
        <v>1</v>
      </c>
    </row>
    <row r="399" spans="1:16" x14ac:dyDescent="0.45">
      <c r="A399" t="s">
        <v>616</v>
      </c>
      <c r="B399" s="2">
        <v>3003440</v>
      </c>
      <c r="D399" t="s">
        <v>486</v>
      </c>
      <c r="E399" s="5" t="s">
        <v>581</v>
      </c>
      <c r="F399" t="s">
        <v>585</v>
      </c>
      <c r="G399" t="s">
        <v>586</v>
      </c>
      <c r="H399" s="1">
        <v>20.55</v>
      </c>
      <c r="I399" s="6">
        <v>41.67</v>
      </c>
      <c r="J399" s="6">
        <v>40</v>
      </c>
      <c r="K399" s="6">
        <v>21.783000000000001</v>
      </c>
      <c r="L399">
        <v>8</v>
      </c>
      <c r="M399">
        <v>0</v>
      </c>
      <c r="N399" t="b">
        <v>0</v>
      </c>
      <c r="O399" t="b">
        <v>0</v>
      </c>
      <c r="P399" t="b">
        <v>1</v>
      </c>
    </row>
    <row r="400" spans="1:16" x14ac:dyDescent="0.45">
      <c r="A400" t="s">
        <v>617</v>
      </c>
      <c r="B400" s="2">
        <v>3003455</v>
      </c>
      <c r="D400" t="s">
        <v>486</v>
      </c>
      <c r="E400" s="5" t="s">
        <v>581</v>
      </c>
      <c r="F400" t="s">
        <v>588</v>
      </c>
      <c r="G400" t="s">
        <v>598</v>
      </c>
      <c r="H400" s="1">
        <v>5.85</v>
      </c>
      <c r="I400" s="6">
        <v>11.11</v>
      </c>
      <c r="J400" s="6">
        <v>10</v>
      </c>
      <c r="K400" s="6">
        <v>6.2009999999999996</v>
      </c>
      <c r="L400">
        <v>8</v>
      </c>
      <c r="M400">
        <v>0</v>
      </c>
      <c r="N400" t="b">
        <v>0</v>
      </c>
      <c r="O400" t="b">
        <v>0</v>
      </c>
      <c r="P400" t="b">
        <v>1</v>
      </c>
    </row>
    <row r="401" spans="1:16" x14ac:dyDescent="0.45">
      <c r="A401" t="s">
        <v>618</v>
      </c>
      <c r="B401" s="2">
        <v>3003347</v>
      </c>
      <c r="D401" t="s">
        <v>34</v>
      </c>
      <c r="F401" t="s">
        <v>585</v>
      </c>
      <c r="G401" t="s">
        <v>619</v>
      </c>
      <c r="H401" s="1">
        <v>299.08</v>
      </c>
      <c r="I401" s="6">
        <v>350</v>
      </c>
      <c r="J401" s="6">
        <v>350</v>
      </c>
      <c r="K401" s="6">
        <v>317.02480000000003</v>
      </c>
      <c r="L401">
        <v>8</v>
      </c>
      <c r="M401">
        <v>0</v>
      </c>
      <c r="N401" t="b">
        <v>0</v>
      </c>
      <c r="O401" t="b">
        <v>0</v>
      </c>
      <c r="P401" t="b">
        <v>1</v>
      </c>
    </row>
    <row r="402" spans="1:16" x14ac:dyDescent="0.45">
      <c r="A402" t="s">
        <v>620</v>
      </c>
      <c r="B402" s="2">
        <v>3003359</v>
      </c>
      <c r="D402" t="s">
        <v>486</v>
      </c>
      <c r="E402" s="5" t="s">
        <v>581</v>
      </c>
      <c r="F402" t="s">
        <v>576</v>
      </c>
      <c r="G402" t="s">
        <v>621</v>
      </c>
      <c r="H402" s="1">
        <v>2.234</v>
      </c>
      <c r="I402" s="6">
        <v>4.63</v>
      </c>
      <c r="J402" s="6">
        <v>4.5</v>
      </c>
      <c r="K402" s="6">
        <v>1.7702</v>
      </c>
      <c r="L402">
        <v>8</v>
      </c>
      <c r="M402">
        <v>0</v>
      </c>
      <c r="N402" t="b">
        <v>0</v>
      </c>
      <c r="O402" t="b">
        <v>0</v>
      </c>
      <c r="P402" t="b">
        <v>1</v>
      </c>
    </row>
    <row r="403" spans="1:16" x14ac:dyDescent="0.45">
      <c r="A403" t="s">
        <v>622</v>
      </c>
      <c r="B403" s="2">
        <v>3003419</v>
      </c>
      <c r="D403" t="s">
        <v>486</v>
      </c>
      <c r="E403" s="5" t="s">
        <v>581</v>
      </c>
      <c r="F403" t="s">
        <v>576</v>
      </c>
      <c r="G403" t="s">
        <v>621</v>
      </c>
      <c r="H403" s="1">
        <v>2.31</v>
      </c>
      <c r="I403" s="6">
        <v>4.63</v>
      </c>
      <c r="J403" s="6">
        <v>4.5</v>
      </c>
      <c r="K403" s="6">
        <v>1.7702</v>
      </c>
      <c r="L403">
        <v>8</v>
      </c>
      <c r="M403">
        <v>0</v>
      </c>
      <c r="N403" t="b">
        <v>0</v>
      </c>
      <c r="O403" t="b">
        <v>0</v>
      </c>
      <c r="P403" t="b">
        <v>1</v>
      </c>
    </row>
    <row r="404" spans="1:16" x14ac:dyDescent="0.45">
      <c r="A404" t="s">
        <v>623</v>
      </c>
      <c r="B404" s="2">
        <v>3003289</v>
      </c>
      <c r="D404" t="s">
        <v>486</v>
      </c>
      <c r="E404" s="5" t="s">
        <v>581</v>
      </c>
      <c r="F404" t="s">
        <v>585</v>
      </c>
      <c r="G404" t="s">
        <v>586</v>
      </c>
      <c r="H404" s="1">
        <v>25.16</v>
      </c>
      <c r="I404" s="6">
        <v>41.67</v>
      </c>
      <c r="J404" s="6">
        <v>40</v>
      </c>
      <c r="K404" s="6">
        <v>26.669599999999999</v>
      </c>
      <c r="L404">
        <v>8</v>
      </c>
      <c r="M404">
        <v>0</v>
      </c>
      <c r="N404" t="b">
        <v>0</v>
      </c>
      <c r="O404" t="b">
        <v>0</v>
      </c>
      <c r="P404" t="b">
        <v>1</v>
      </c>
    </row>
    <row r="405" spans="1:16" x14ac:dyDescent="0.45">
      <c r="A405" t="s">
        <v>624</v>
      </c>
      <c r="B405" s="2">
        <v>3003524</v>
      </c>
      <c r="D405" t="s">
        <v>486</v>
      </c>
      <c r="E405" s="5" t="s">
        <v>581</v>
      </c>
      <c r="F405" t="s">
        <v>576</v>
      </c>
      <c r="G405" t="s">
        <v>625</v>
      </c>
      <c r="H405" s="1">
        <v>3.75</v>
      </c>
      <c r="I405" s="6">
        <v>9.26</v>
      </c>
      <c r="J405" s="6">
        <v>8.5</v>
      </c>
      <c r="K405" s="6">
        <v>3.9750000000000001</v>
      </c>
      <c r="L405">
        <v>8</v>
      </c>
      <c r="M405">
        <v>0</v>
      </c>
      <c r="N405" t="b">
        <v>0</v>
      </c>
      <c r="O405" t="b">
        <v>0</v>
      </c>
      <c r="P405" t="b">
        <v>1</v>
      </c>
    </row>
    <row r="406" spans="1:16" x14ac:dyDescent="0.45">
      <c r="A406" t="s">
        <v>626</v>
      </c>
      <c r="B406" s="2">
        <v>3003521</v>
      </c>
      <c r="D406" t="s">
        <v>486</v>
      </c>
      <c r="E406" s="5" t="s">
        <v>581</v>
      </c>
      <c r="F406" t="s">
        <v>576</v>
      </c>
      <c r="G406" t="s">
        <v>577</v>
      </c>
      <c r="H406" s="1">
        <v>4.4749999999999996</v>
      </c>
      <c r="I406" s="6">
        <v>9.26</v>
      </c>
      <c r="J406" s="6">
        <v>8.5</v>
      </c>
      <c r="K406" s="6">
        <v>4.7435</v>
      </c>
      <c r="L406">
        <v>8</v>
      </c>
      <c r="M406">
        <v>0</v>
      </c>
      <c r="N406" t="b">
        <v>0</v>
      </c>
      <c r="O406" t="b">
        <v>0</v>
      </c>
      <c r="P406" t="b">
        <v>1</v>
      </c>
    </row>
    <row r="407" spans="1:16" x14ac:dyDescent="0.45">
      <c r="A407" t="s">
        <v>627</v>
      </c>
      <c r="B407" s="2">
        <v>3003434</v>
      </c>
      <c r="D407" t="s">
        <v>486</v>
      </c>
      <c r="E407" s="5" t="s">
        <v>581</v>
      </c>
      <c r="F407" t="s">
        <v>585</v>
      </c>
      <c r="G407" t="s">
        <v>591</v>
      </c>
      <c r="H407" s="1">
        <v>38.520000000000003</v>
      </c>
      <c r="I407" s="6">
        <v>74.069999999999993</v>
      </c>
      <c r="J407" s="6">
        <v>74</v>
      </c>
      <c r="K407" s="6">
        <v>40.831200000000003</v>
      </c>
      <c r="L407">
        <v>8</v>
      </c>
      <c r="M407">
        <v>0</v>
      </c>
      <c r="N407" t="b">
        <v>0</v>
      </c>
      <c r="O407" t="b">
        <v>0</v>
      </c>
      <c r="P407" t="b">
        <v>1</v>
      </c>
    </row>
    <row r="408" spans="1:16" x14ac:dyDescent="0.45">
      <c r="A408" t="s">
        <v>628</v>
      </c>
      <c r="B408" s="2">
        <v>3003520</v>
      </c>
      <c r="D408" t="s">
        <v>486</v>
      </c>
      <c r="E408" s="5" t="s">
        <v>581</v>
      </c>
      <c r="F408" t="s">
        <v>585</v>
      </c>
      <c r="G408" t="s">
        <v>593</v>
      </c>
      <c r="H408" s="1">
        <v>111.43667000000001</v>
      </c>
      <c r="I408" s="6">
        <v>240.74</v>
      </c>
      <c r="J408" s="6">
        <v>240</v>
      </c>
      <c r="K408" s="6">
        <v>118.12287019999999</v>
      </c>
      <c r="L408">
        <v>8</v>
      </c>
      <c r="M408">
        <v>0</v>
      </c>
      <c r="N408" t="b">
        <v>0</v>
      </c>
      <c r="O408" t="b">
        <v>0</v>
      </c>
      <c r="P408" t="b">
        <v>1</v>
      </c>
    </row>
    <row r="409" spans="1:16" x14ac:dyDescent="0.45">
      <c r="A409" t="s">
        <v>629</v>
      </c>
      <c r="B409" s="2">
        <v>3003348</v>
      </c>
      <c r="D409" t="s">
        <v>486</v>
      </c>
      <c r="E409" s="5" t="s">
        <v>581</v>
      </c>
      <c r="F409" t="s">
        <v>585</v>
      </c>
      <c r="G409" t="s">
        <v>586</v>
      </c>
      <c r="H409" s="1">
        <v>20.74333</v>
      </c>
      <c r="I409" s="6">
        <v>41.67</v>
      </c>
      <c r="J409" s="6">
        <v>40</v>
      </c>
      <c r="K409" s="6">
        <v>21.9879298</v>
      </c>
      <c r="L409">
        <v>8</v>
      </c>
      <c r="M409">
        <v>0</v>
      </c>
      <c r="N409" t="b">
        <v>0</v>
      </c>
      <c r="O409" t="b">
        <v>0</v>
      </c>
      <c r="P409" t="b">
        <v>1</v>
      </c>
    </row>
    <row r="410" spans="1:16" x14ac:dyDescent="0.45">
      <c r="A410" t="s">
        <v>630</v>
      </c>
      <c r="B410" s="2">
        <v>3003523</v>
      </c>
      <c r="D410" t="s">
        <v>486</v>
      </c>
      <c r="E410" s="5" t="s">
        <v>581</v>
      </c>
      <c r="F410" t="s">
        <v>576</v>
      </c>
      <c r="G410" t="s">
        <v>577</v>
      </c>
      <c r="H410" s="1">
        <v>1.67</v>
      </c>
      <c r="I410" s="6">
        <v>4.63</v>
      </c>
      <c r="J410" s="6">
        <v>4.5</v>
      </c>
      <c r="K410" s="6">
        <v>1.7702</v>
      </c>
      <c r="L410">
        <v>8</v>
      </c>
      <c r="M410">
        <v>0</v>
      </c>
      <c r="N410" t="b">
        <v>0</v>
      </c>
      <c r="O410" t="b">
        <v>0</v>
      </c>
      <c r="P410" t="b">
        <v>1</v>
      </c>
    </row>
    <row r="411" spans="1:16" x14ac:dyDescent="0.45">
      <c r="A411" t="s">
        <v>631</v>
      </c>
      <c r="B411" s="2">
        <v>3003453</v>
      </c>
      <c r="D411" t="s">
        <v>486</v>
      </c>
      <c r="E411" s="5" t="s">
        <v>581</v>
      </c>
      <c r="F411" t="s">
        <v>588</v>
      </c>
      <c r="G411" t="s">
        <v>598</v>
      </c>
      <c r="H411" s="1">
        <v>6.2937500000000002</v>
      </c>
      <c r="I411" s="6">
        <v>11.11</v>
      </c>
      <c r="J411" s="6">
        <v>10</v>
      </c>
      <c r="K411" s="6">
        <v>6.6713750000000003</v>
      </c>
      <c r="L411">
        <v>8</v>
      </c>
      <c r="M411">
        <v>0</v>
      </c>
      <c r="N411" t="b">
        <v>0</v>
      </c>
      <c r="O411" t="b">
        <v>0</v>
      </c>
      <c r="P411" t="b">
        <v>1</v>
      </c>
    </row>
    <row r="412" spans="1:16" x14ac:dyDescent="0.45">
      <c r="A412" t="s">
        <v>632</v>
      </c>
      <c r="B412" s="2">
        <v>3003284</v>
      </c>
      <c r="D412" t="s">
        <v>486</v>
      </c>
      <c r="E412" s="5" t="s">
        <v>581</v>
      </c>
      <c r="F412" t="s">
        <v>588</v>
      </c>
      <c r="G412" t="s">
        <v>589</v>
      </c>
      <c r="H412" s="1">
        <v>6.7029199999999998</v>
      </c>
      <c r="I412" s="6">
        <v>13.89</v>
      </c>
      <c r="J412" s="6">
        <v>13</v>
      </c>
      <c r="K412" s="6">
        <v>7.1050952000000001</v>
      </c>
      <c r="L412">
        <v>8</v>
      </c>
      <c r="M412">
        <v>0</v>
      </c>
      <c r="N412" t="b">
        <v>0</v>
      </c>
      <c r="O412" t="b">
        <v>0</v>
      </c>
      <c r="P412" t="b">
        <v>1</v>
      </c>
    </row>
    <row r="413" spans="1:16" x14ac:dyDescent="0.45">
      <c r="A413" t="s">
        <v>633</v>
      </c>
      <c r="B413" s="2">
        <v>3003474</v>
      </c>
      <c r="D413" t="s">
        <v>486</v>
      </c>
      <c r="E413" s="5" t="s">
        <v>581</v>
      </c>
      <c r="F413" t="s">
        <v>576</v>
      </c>
      <c r="G413" t="s">
        <v>634</v>
      </c>
      <c r="H413" s="1">
        <v>3.81</v>
      </c>
      <c r="I413" s="6">
        <v>9.26</v>
      </c>
      <c r="J413" s="6">
        <v>8.5</v>
      </c>
      <c r="K413" s="6">
        <v>4.0385999999999997</v>
      </c>
      <c r="L413">
        <v>8</v>
      </c>
      <c r="M413">
        <v>0</v>
      </c>
      <c r="N413" t="b">
        <v>0</v>
      </c>
      <c r="O413" t="b">
        <v>0</v>
      </c>
      <c r="P413" t="b">
        <v>1</v>
      </c>
    </row>
    <row r="414" spans="1:16" x14ac:dyDescent="0.45">
      <c r="A414" t="s">
        <v>635</v>
      </c>
      <c r="B414" s="2">
        <v>3003456</v>
      </c>
      <c r="D414" t="s">
        <v>486</v>
      </c>
      <c r="E414" s="5" t="s">
        <v>581</v>
      </c>
      <c r="F414" t="s">
        <v>585</v>
      </c>
      <c r="G414" t="s">
        <v>591</v>
      </c>
      <c r="H414" s="1">
        <v>48.545000000000002</v>
      </c>
      <c r="I414" s="6">
        <v>92.59</v>
      </c>
      <c r="J414" s="6">
        <v>90</v>
      </c>
      <c r="K414" s="6">
        <v>51.457700000000003</v>
      </c>
      <c r="L414">
        <v>8</v>
      </c>
      <c r="M414">
        <v>0</v>
      </c>
      <c r="N414" t="b">
        <v>0</v>
      </c>
      <c r="O414" t="b">
        <v>0</v>
      </c>
      <c r="P414" t="b">
        <v>1</v>
      </c>
    </row>
    <row r="415" spans="1:16" x14ac:dyDescent="0.45">
      <c r="A415" t="s">
        <v>636</v>
      </c>
      <c r="B415" s="2">
        <v>3003522</v>
      </c>
      <c r="D415" t="s">
        <v>486</v>
      </c>
      <c r="E415" s="5" t="s">
        <v>581</v>
      </c>
      <c r="F415" t="s">
        <v>576</v>
      </c>
      <c r="G415" t="s">
        <v>577</v>
      </c>
      <c r="H415" s="1">
        <v>1.73569</v>
      </c>
      <c r="I415" s="6">
        <v>4.63</v>
      </c>
      <c r="J415" s="6">
        <v>4.5</v>
      </c>
      <c r="K415" s="6">
        <v>1.8398314</v>
      </c>
      <c r="L415">
        <v>8</v>
      </c>
      <c r="M415">
        <v>0</v>
      </c>
      <c r="N415" t="b">
        <v>0</v>
      </c>
      <c r="O415" t="b">
        <v>0</v>
      </c>
      <c r="P415" t="b">
        <v>1</v>
      </c>
    </row>
    <row r="416" spans="1:16" x14ac:dyDescent="0.45">
      <c r="A416" t="s">
        <v>637</v>
      </c>
      <c r="B416" s="2">
        <v>3003525</v>
      </c>
      <c r="D416" t="s">
        <v>486</v>
      </c>
      <c r="E416" s="5" t="s">
        <v>581</v>
      </c>
      <c r="F416" t="s">
        <v>576</v>
      </c>
      <c r="G416" t="s">
        <v>607</v>
      </c>
      <c r="H416" s="1">
        <v>4.3970799999999999</v>
      </c>
      <c r="I416" s="6">
        <v>9.26</v>
      </c>
      <c r="J416" s="6">
        <v>8.5</v>
      </c>
      <c r="K416" s="6">
        <v>4.6609048</v>
      </c>
      <c r="L416">
        <v>8</v>
      </c>
      <c r="M416">
        <v>0</v>
      </c>
      <c r="N416" t="b">
        <v>0</v>
      </c>
      <c r="O416" t="b">
        <v>0</v>
      </c>
      <c r="P416" t="b">
        <v>1</v>
      </c>
    </row>
    <row r="417" spans="1:16" x14ac:dyDescent="0.45">
      <c r="A417" t="s">
        <v>638</v>
      </c>
      <c r="B417" s="2">
        <v>3003388</v>
      </c>
      <c r="D417" t="s">
        <v>486</v>
      </c>
      <c r="E417" s="5" t="s">
        <v>581</v>
      </c>
      <c r="F417" t="s">
        <v>576</v>
      </c>
      <c r="G417" t="s">
        <v>577</v>
      </c>
      <c r="H417" s="1">
        <v>4.47417</v>
      </c>
      <c r="I417" s="6">
        <v>9.26</v>
      </c>
      <c r="J417" s="6">
        <v>8.5</v>
      </c>
      <c r="K417" s="6">
        <v>4.7426202000000002</v>
      </c>
      <c r="L417">
        <v>8</v>
      </c>
      <c r="M417">
        <v>0</v>
      </c>
      <c r="N417" t="b">
        <v>0</v>
      </c>
      <c r="O417" t="b">
        <v>0</v>
      </c>
      <c r="P417" t="b">
        <v>1</v>
      </c>
    </row>
    <row r="418" spans="1:16" x14ac:dyDescent="0.45">
      <c r="A418" t="s">
        <v>639</v>
      </c>
      <c r="B418" s="2">
        <v>3003414</v>
      </c>
      <c r="D418" t="s">
        <v>486</v>
      </c>
      <c r="E418" s="5" t="s">
        <v>581</v>
      </c>
      <c r="F418" t="s">
        <v>576</v>
      </c>
      <c r="G418" t="s">
        <v>577</v>
      </c>
      <c r="H418" s="1">
        <v>1.64</v>
      </c>
      <c r="I418" s="6">
        <v>4.63</v>
      </c>
      <c r="J418" s="6">
        <v>4.5</v>
      </c>
      <c r="K418" s="6">
        <v>1.7383999999999999</v>
      </c>
      <c r="L418">
        <v>8</v>
      </c>
      <c r="M418">
        <v>0</v>
      </c>
      <c r="N418" t="b">
        <v>0</v>
      </c>
      <c r="O418" t="b">
        <v>0</v>
      </c>
      <c r="P418" t="b">
        <v>1</v>
      </c>
    </row>
    <row r="419" spans="1:16" x14ac:dyDescent="0.45">
      <c r="A419" t="s">
        <v>640</v>
      </c>
      <c r="B419" s="2">
        <v>3000278</v>
      </c>
      <c r="D419" t="s">
        <v>486</v>
      </c>
      <c r="E419" s="5" t="s">
        <v>581</v>
      </c>
      <c r="F419" t="s">
        <v>588</v>
      </c>
      <c r="G419" t="s">
        <v>589</v>
      </c>
      <c r="H419" s="1">
        <v>6.56</v>
      </c>
      <c r="I419" s="6">
        <v>13.89</v>
      </c>
      <c r="J419" s="6">
        <v>13</v>
      </c>
      <c r="K419" s="6">
        <v>6.9535999999999998</v>
      </c>
      <c r="L419">
        <v>8</v>
      </c>
      <c r="M419">
        <v>0</v>
      </c>
      <c r="N419" t="b">
        <v>0</v>
      </c>
      <c r="O419" t="b">
        <v>0</v>
      </c>
      <c r="P419" t="b">
        <v>1</v>
      </c>
    </row>
    <row r="420" spans="1:16" x14ac:dyDescent="0.45">
      <c r="A420" t="s">
        <v>641</v>
      </c>
      <c r="B420" s="2">
        <v>3003433</v>
      </c>
      <c r="D420" t="s">
        <v>486</v>
      </c>
      <c r="E420" s="5" t="s">
        <v>581</v>
      </c>
      <c r="F420" t="s">
        <v>585</v>
      </c>
      <c r="G420" t="s">
        <v>591</v>
      </c>
      <c r="H420" s="1">
        <v>38.335000000000001</v>
      </c>
      <c r="I420" s="6">
        <v>69.44</v>
      </c>
      <c r="J420" s="6">
        <v>68</v>
      </c>
      <c r="K420" s="6">
        <v>40.635100000000001</v>
      </c>
      <c r="L420">
        <v>8</v>
      </c>
      <c r="M420">
        <v>0</v>
      </c>
      <c r="N420" t="b">
        <v>0</v>
      </c>
      <c r="O420" t="b">
        <v>0</v>
      </c>
      <c r="P420" t="b">
        <v>1</v>
      </c>
    </row>
    <row r="421" spans="1:16" x14ac:dyDescent="0.45">
      <c r="A421" t="s">
        <v>642</v>
      </c>
      <c r="B421" s="2">
        <v>3003519</v>
      </c>
      <c r="D421" t="s">
        <v>486</v>
      </c>
      <c r="E421" s="5" t="s">
        <v>581</v>
      </c>
      <c r="F421" t="s">
        <v>585</v>
      </c>
      <c r="G421" t="s">
        <v>593</v>
      </c>
      <c r="H421" s="1">
        <v>104.74</v>
      </c>
      <c r="I421" s="6">
        <f>240/1.08</f>
        <v>222.2222222222222</v>
      </c>
      <c r="J421" s="6">
        <v>220</v>
      </c>
      <c r="K421" s="6">
        <v>111.0244</v>
      </c>
      <c r="L421">
        <v>8</v>
      </c>
      <c r="M421">
        <v>0</v>
      </c>
      <c r="N421" t="b">
        <v>0</v>
      </c>
      <c r="O421" t="b">
        <v>0</v>
      </c>
      <c r="P421" t="b">
        <v>1</v>
      </c>
    </row>
    <row r="422" spans="1:16" x14ac:dyDescent="0.45">
      <c r="A422" t="s">
        <v>643</v>
      </c>
      <c r="B422" s="2">
        <v>3003292</v>
      </c>
      <c r="D422" t="s">
        <v>486</v>
      </c>
      <c r="E422" s="5" t="s">
        <v>581</v>
      </c>
      <c r="F422" t="s">
        <v>585</v>
      </c>
      <c r="G422" t="s">
        <v>586</v>
      </c>
      <c r="H422" s="1">
        <v>22.25</v>
      </c>
      <c r="I422" s="6">
        <v>37.04</v>
      </c>
      <c r="J422" s="6">
        <v>36</v>
      </c>
      <c r="K422" s="6">
        <v>23.585000000000001</v>
      </c>
      <c r="L422">
        <v>8</v>
      </c>
      <c r="M422">
        <v>0</v>
      </c>
      <c r="N422" t="b">
        <v>0</v>
      </c>
      <c r="O422" t="b">
        <v>0</v>
      </c>
      <c r="P422" t="b">
        <v>1</v>
      </c>
    </row>
    <row r="423" spans="1:16" x14ac:dyDescent="0.45">
      <c r="A423" t="s">
        <v>644</v>
      </c>
      <c r="B423" s="2">
        <v>3003452</v>
      </c>
      <c r="D423" t="s">
        <v>486</v>
      </c>
      <c r="E423" s="5" t="s">
        <v>581</v>
      </c>
      <c r="F423" t="s">
        <v>588</v>
      </c>
      <c r="G423" t="s">
        <v>598</v>
      </c>
      <c r="H423" s="1">
        <v>5.26</v>
      </c>
      <c r="I423" s="6">
        <v>11.11</v>
      </c>
      <c r="J423" s="6">
        <v>10</v>
      </c>
      <c r="K423" s="6">
        <v>5.5755999999999997</v>
      </c>
      <c r="L423">
        <v>8</v>
      </c>
      <c r="M423">
        <v>0</v>
      </c>
      <c r="N423" t="b">
        <v>0</v>
      </c>
      <c r="O423" t="b">
        <v>0</v>
      </c>
      <c r="P423" t="b">
        <v>1</v>
      </c>
    </row>
    <row r="424" spans="1:16" x14ac:dyDescent="0.45">
      <c r="A424" t="s">
        <v>645</v>
      </c>
      <c r="B424" s="2">
        <v>3003518</v>
      </c>
      <c r="D424" t="s">
        <v>486</v>
      </c>
      <c r="E424" s="5" t="s">
        <v>581</v>
      </c>
      <c r="F424" t="s">
        <v>588</v>
      </c>
      <c r="G424" t="s">
        <v>589</v>
      </c>
      <c r="H424" s="1">
        <v>6.71</v>
      </c>
      <c r="I424" s="6">
        <v>13.89</v>
      </c>
      <c r="J424" s="6">
        <v>13</v>
      </c>
      <c r="K424" s="6">
        <v>7.1125999999999996</v>
      </c>
      <c r="L424">
        <v>8</v>
      </c>
      <c r="M424">
        <v>0</v>
      </c>
      <c r="N424" t="b">
        <v>0</v>
      </c>
      <c r="O424" t="b">
        <v>0</v>
      </c>
      <c r="P424" t="b">
        <v>1</v>
      </c>
    </row>
    <row r="425" spans="1:16" x14ac:dyDescent="0.45">
      <c r="A425" t="s">
        <v>646</v>
      </c>
      <c r="B425" s="2">
        <v>3003290</v>
      </c>
      <c r="D425" t="s">
        <v>486</v>
      </c>
      <c r="E425" s="5" t="s">
        <v>581</v>
      </c>
      <c r="F425" t="s">
        <v>588</v>
      </c>
      <c r="G425" t="s">
        <v>589</v>
      </c>
      <c r="H425" s="1">
        <v>7.7298600000000004</v>
      </c>
      <c r="I425" s="6">
        <v>13.89</v>
      </c>
      <c r="J425" s="6">
        <v>13</v>
      </c>
      <c r="K425" s="6">
        <v>8.1936516000000008</v>
      </c>
      <c r="L425">
        <v>8</v>
      </c>
      <c r="M425">
        <v>0</v>
      </c>
      <c r="N425" t="b">
        <v>0</v>
      </c>
      <c r="O425" t="b">
        <v>0</v>
      </c>
      <c r="P425" t="b">
        <v>1</v>
      </c>
    </row>
    <row r="426" spans="1:16" x14ac:dyDescent="0.45">
      <c r="A426" t="s">
        <v>647</v>
      </c>
      <c r="B426" s="2" t="s">
        <v>648</v>
      </c>
      <c r="C426" t="s">
        <v>649</v>
      </c>
      <c r="D426" t="s">
        <v>486</v>
      </c>
      <c r="E426" s="5" t="s">
        <v>581</v>
      </c>
      <c r="F426" t="s">
        <v>58</v>
      </c>
      <c r="G426" t="s">
        <v>650</v>
      </c>
      <c r="H426" s="1">
        <v>47.49</v>
      </c>
      <c r="I426" s="6">
        <f>100/1.08</f>
        <v>92.592592592592581</v>
      </c>
      <c r="J426" s="6">
        <v>90</v>
      </c>
      <c r="K426" s="6">
        <v>87.96</v>
      </c>
      <c r="L426">
        <v>8</v>
      </c>
      <c r="M426">
        <v>31</v>
      </c>
      <c r="N426" t="b">
        <v>1</v>
      </c>
      <c r="O426" t="b">
        <v>1</v>
      </c>
      <c r="P426" t="b">
        <v>1</v>
      </c>
    </row>
    <row r="427" spans="1:16" x14ac:dyDescent="0.45">
      <c r="A427" t="s">
        <v>651</v>
      </c>
      <c r="B427" s="2">
        <v>3003416</v>
      </c>
      <c r="D427" t="s">
        <v>486</v>
      </c>
      <c r="E427" s="5" t="s">
        <v>581</v>
      </c>
      <c r="F427" t="s">
        <v>585</v>
      </c>
      <c r="G427" t="s">
        <v>593</v>
      </c>
      <c r="H427" s="1">
        <v>179.16333</v>
      </c>
      <c r="I427" s="6">
        <f>350/1.08</f>
        <v>324.07407407407408</v>
      </c>
      <c r="J427" s="6">
        <v>310</v>
      </c>
      <c r="K427" s="6">
        <v>189.91312980000001</v>
      </c>
      <c r="L427">
        <v>8</v>
      </c>
      <c r="M427">
        <v>0</v>
      </c>
      <c r="N427" t="b">
        <v>0</v>
      </c>
      <c r="O427" t="b">
        <v>0</v>
      </c>
      <c r="P427" t="b">
        <v>1</v>
      </c>
    </row>
    <row r="428" spans="1:16" x14ac:dyDescent="0.45">
      <c r="A428" t="s">
        <v>652</v>
      </c>
      <c r="B428" s="2">
        <v>3003481</v>
      </c>
      <c r="D428" t="s">
        <v>486</v>
      </c>
      <c r="E428" s="5" t="s">
        <v>581</v>
      </c>
      <c r="F428" t="s">
        <v>585</v>
      </c>
      <c r="G428" t="s">
        <v>586</v>
      </c>
      <c r="H428" s="1">
        <v>24.18</v>
      </c>
      <c r="I428" s="6">
        <v>46.3</v>
      </c>
      <c r="J428" s="6">
        <v>46</v>
      </c>
      <c r="K428" s="6">
        <v>25.630800000000001</v>
      </c>
      <c r="L428">
        <v>8</v>
      </c>
      <c r="M428">
        <v>0</v>
      </c>
      <c r="N428" t="b">
        <v>0</v>
      </c>
      <c r="O428" t="b">
        <v>0</v>
      </c>
      <c r="P428" t="b">
        <v>1</v>
      </c>
    </row>
    <row r="429" spans="1:16" x14ac:dyDescent="0.45">
      <c r="A429" t="s">
        <v>653</v>
      </c>
      <c r="B429" s="2">
        <v>3003238</v>
      </c>
      <c r="D429" t="s">
        <v>486</v>
      </c>
      <c r="E429" s="5" t="s">
        <v>581</v>
      </c>
      <c r="F429" t="s">
        <v>585</v>
      </c>
      <c r="G429" t="s">
        <v>591</v>
      </c>
      <c r="H429" s="1">
        <v>42.63</v>
      </c>
      <c r="I429" s="6">
        <v>78.7</v>
      </c>
      <c r="J429" s="6">
        <v>75</v>
      </c>
      <c r="K429" s="6">
        <v>45.187800000000003</v>
      </c>
      <c r="L429">
        <v>8</v>
      </c>
      <c r="M429">
        <v>0</v>
      </c>
      <c r="N429" t="b">
        <v>0</v>
      </c>
      <c r="O429" t="b">
        <v>0</v>
      </c>
      <c r="P429" t="b">
        <v>1</v>
      </c>
    </row>
    <row r="430" spans="1:16" x14ac:dyDescent="0.45">
      <c r="A430" t="s">
        <v>654</v>
      </c>
      <c r="B430" s="2">
        <v>3003430</v>
      </c>
      <c r="D430" t="s">
        <v>486</v>
      </c>
      <c r="E430" s="5" t="s">
        <v>581</v>
      </c>
      <c r="F430" t="s">
        <v>585</v>
      </c>
      <c r="G430" t="s">
        <v>591</v>
      </c>
      <c r="H430" s="1">
        <v>36.49</v>
      </c>
      <c r="I430" s="6">
        <v>69.44</v>
      </c>
      <c r="J430" s="6">
        <v>68</v>
      </c>
      <c r="K430" s="6">
        <v>38.679400000000001</v>
      </c>
      <c r="L430">
        <v>8</v>
      </c>
      <c r="M430">
        <v>0</v>
      </c>
      <c r="N430" t="b">
        <v>0</v>
      </c>
      <c r="O430" t="b">
        <v>0</v>
      </c>
      <c r="P430" t="b">
        <v>1</v>
      </c>
    </row>
    <row r="431" spans="1:16" x14ac:dyDescent="0.45">
      <c r="A431" t="s">
        <v>655</v>
      </c>
      <c r="B431" s="2">
        <v>3003407</v>
      </c>
      <c r="D431" t="s">
        <v>486</v>
      </c>
      <c r="E431" s="5" t="s">
        <v>581</v>
      </c>
      <c r="F431" t="s">
        <v>585</v>
      </c>
      <c r="G431" t="s">
        <v>593</v>
      </c>
      <c r="H431" s="1">
        <v>98.313509999999994</v>
      </c>
      <c r="I431" s="6">
        <f>240/1.08</f>
        <v>222.2222222222222</v>
      </c>
      <c r="J431" s="6">
        <v>220</v>
      </c>
      <c r="K431" s="6">
        <v>104.2123206</v>
      </c>
      <c r="L431">
        <v>8</v>
      </c>
      <c r="M431">
        <v>0</v>
      </c>
      <c r="N431" t="b">
        <v>0</v>
      </c>
      <c r="O431" t="b">
        <v>0</v>
      </c>
      <c r="P431" t="b">
        <v>1</v>
      </c>
    </row>
    <row r="432" spans="1:16" x14ac:dyDescent="0.45">
      <c r="A432" t="s">
        <v>656</v>
      </c>
      <c r="B432" s="2">
        <v>1</v>
      </c>
      <c r="C432" t="s">
        <v>33</v>
      </c>
      <c r="D432" t="s">
        <v>486</v>
      </c>
      <c r="E432" s="5" t="s">
        <v>581</v>
      </c>
      <c r="F432" t="s">
        <v>585</v>
      </c>
      <c r="G432" t="s">
        <v>657</v>
      </c>
      <c r="H432" s="1">
        <v>249</v>
      </c>
      <c r="I432" s="6">
        <f>250/1.08</f>
        <v>231.48148148148147</v>
      </c>
      <c r="J432" s="6">
        <v>231.48</v>
      </c>
      <c r="K432" s="6">
        <v>270</v>
      </c>
      <c r="L432">
        <v>8</v>
      </c>
      <c r="M432">
        <v>10</v>
      </c>
      <c r="N432" t="b">
        <v>0</v>
      </c>
      <c r="O432" t="b">
        <v>0</v>
      </c>
      <c r="P432" t="b">
        <v>1</v>
      </c>
    </row>
    <row r="433" spans="1:16" x14ac:dyDescent="0.45">
      <c r="A433" t="s">
        <v>658</v>
      </c>
      <c r="B433" s="2">
        <v>3003439</v>
      </c>
      <c r="D433" t="s">
        <v>486</v>
      </c>
      <c r="E433" s="5" t="s">
        <v>581</v>
      </c>
      <c r="F433" t="s">
        <v>585</v>
      </c>
      <c r="G433" t="s">
        <v>586</v>
      </c>
      <c r="H433" s="1">
        <v>19.600000000000001</v>
      </c>
      <c r="I433" s="6">
        <v>37.04</v>
      </c>
      <c r="J433" s="6">
        <v>36</v>
      </c>
      <c r="K433" s="6">
        <v>20.776</v>
      </c>
      <c r="L433">
        <v>8</v>
      </c>
      <c r="M433">
        <v>0</v>
      </c>
      <c r="N433" t="b">
        <v>0</v>
      </c>
      <c r="O433" t="b">
        <v>0</v>
      </c>
      <c r="P433" t="b">
        <v>1</v>
      </c>
    </row>
    <row r="434" spans="1:16" x14ac:dyDescent="0.45">
      <c r="A434" t="s">
        <v>659</v>
      </c>
      <c r="B434" s="2">
        <v>3003315</v>
      </c>
      <c r="D434" t="s">
        <v>486</v>
      </c>
      <c r="E434" s="5" t="s">
        <v>581</v>
      </c>
      <c r="F434" t="s">
        <v>585</v>
      </c>
      <c r="G434" t="s">
        <v>586</v>
      </c>
      <c r="H434" s="1">
        <v>19.63</v>
      </c>
      <c r="I434" s="6">
        <v>41.67</v>
      </c>
      <c r="J434" s="6">
        <v>40</v>
      </c>
      <c r="K434" s="6">
        <v>20.8078</v>
      </c>
      <c r="L434">
        <v>8</v>
      </c>
      <c r="M434">
        <v>0</v>
      </c>
      <c r="N434" t="b">
        <v>0</v>
      </c>
      <c r="O434" t="b">
        <v>0</v>
      </c>
      <c r="P434" t="b">
        <v>1</v>
      </c>
    </row>
    <row r="435" spans="1:16" x14ac:dyDescent="0.45">
      <c r="A435" t="s">
        <v>660</v>
      </c>
      <c r="B435" s="2">
        <v>3003448</v>
      </c>
      <c r="D435" t="s">
        <v>486</v>
      </c>
      <c r="E435" s="5" t="s">
        <v>581</v>
      </c>
      <c r="F435" t="s">
        <v>576</v>
      </c>
      <c r="G435" t="s">
        <v>577</v>
      </c>
      <c r="H435" s="1">
        <v>5.56</v>
      </c>
      <c r="I435" s="6">
        <v>17</v>
      </c>
      <c r="J435" s="6">
        <v>18.52</v>
      </c>
      <c r="K435" s="6">
        <v>5.8936000000000002</v>
      </c>
      <c r="L435">
        <v>8</v>
      </c>
      <c r="M435">
        <v>0</v>
      </c>
      <c r="N435" t="b">
        <v>0</v>
      </c>
      <c r="O435" t="b">
        <v>0</v>
      </c>
      <c r="P435" t="b">
        <v>1</v>
      </c>
    </row>
    <row r="436" spans="1:16" x14ac:dyDescent="0.45">
      <c r="A436" t="s">
        <v>661</v>
      </c>
      <c r="B436" s="2">
        <v>3003438</v>
      </c>
      <c r="D436" t="s">
        <v>486</v>
      </c>
      <c r="E436" s="5" t="s">
        <v>581</v>
      </c>
      <c r="F436" t="s">
        <v>576</v>
      </c>
      <c r="G436" t="s">
        <v>596</v>
      </c>
      <c r="H436" s="1">
        <v>4.08</v>
      </c>
      <c r="I436" s="6">
        <v>13.89</v>
      </c>
      <c r="J436" s="6">
        <v>12</v>
      </c>
      <c r="K436" s="6">
        <v>4.3247999999999998</v>
      </c>
      <c r="L436">
        <v>8</v>
      </c>
      <c r="M436">
        <v>0</v>
      </c>
      <c r="N436" t="b">
        <v>0</v>
      </c>
      <c r="O436" t="b">
        <v>0</v>
      </c>
      <c r="P436" t="b">
        <v>1</v>
      </c>
    </row>
    <row r="437" spans="1:16" x14ac:dyDescent="0.45">
      <c r="A437" t="s">
        <v>662</v>
      </c>
      <c r="B437" s="2">
        <v>3003450</v>
      </c>
      <c r="D437" t="s">
        <v>486</v>
      </c>
      <c r="E437" s="5" t="s">
        <v>581</v>
      </c>
      <c r="F437" t="s">
        <v>588</v>
      </c>
      <c r="G437" t="s">
        <v>598</v>
      </c>
      <c r="H437" s="1">
        <v>5.2631300000000003</v>
      </c>
      <c r="I437" s="6">
        <v>11.11</v>
      </c>
      <c r="J437" s="6">
        <v>10</v>
      </c>
      <c r="K437" s="6">
        <v>5.5789178000000001</v>
      </c>
      <c r="L437">
        <v>8</v>
      </c>
      <c r="M437">
        <v>0</v>
      </c>
      <c r="N437" t="b">
        <v>0</v>
      </c>
      <c r="O437" t="b">
        <v>0</v>
      </c>
      <c r="P437" t="b">
        <v>1</v>
      </c>
    </row>
    <row r="438" spans="1:16" x14ac:dyDescent="0.45">
      <c r="A438" t="s">
        <v>663</v>
      </c>
      <c r="B438" s="2">
        <v>3003240</v>
      </c>
      <c r="D438" t="s">
        <v>486</v>
      </c>
      <c r="E438" s="5" t="s">
        <v>581</v>
      </c>
      <c r="F438" t="s">
        <v>585</v>
      </c>
      <c r="G438" t="s">
        <v>591</v>
      </c>
      <c r="H438" s="1">
        <v>40.3752</v>
      </c>
      <c r="I438" s="6">
        <v>74.069999999999993</v>
      </c>
      <c r="J438" s="6">
        <v>74</v>
      </c>
      <c r="K438" s="6">
        <v>42.797711999999997</v>
      </c>
      <c r="L438">
        <v>8</v>
      </c>
      <c r="M438">
        <v>0</v>
      </c>
      <c r="N438" t="b">
        <v>0</v>
      </c>
      <c r="O438" t="b">
        <v>0</v>
      </c>
      <c r="P438" t="b">
        <v>1</v>
      </c>
    </row>
    <row r="439" spans="1:16" x14ac:dyDescent="0.45">
      <c r="A439" t="s">
        <v>664</v>
      </c>
      <c r="B439" s="2">
        <v>3003445</v>
      </c>
      <c r="D439" t="s">
        <v>486</v>
      </c>
      <c r="E439" s="5" t="s">
        <v>581</v>
      </c>
      <c r="F439" t="s">
        <v>576</v>
      </c>
      <c r="G439" t="s">
        <v>579</v>
      </c>
      <c r="H439" s="1">
        <v>4.5268800000000002</v>
      </c>
      <c r="I439" s="6">
        <v>9.26</v>
      </c>
      <c r="J439" s="6">
        <v>8.5</v>
      </c>
      <c r="K439" s="6">
        <v>4.7984928</v>
      </c>
      <c r="L439">
        <v>8</v>
      </c>
      <c r="M439">
        <v>0</v>
      </c>
      <c r="N439" t="b">
        <v>0</v>
      </c>
      <c r="O439" t="b">
        <v>0</v>
      </c>
      <c r="P439" t="b">
        <v>1</v>
      </c>
    </row>
    <row r="440" spans="1:16" x14ac:dyDescent="0.45">
      <c r="A440" t="s">
        <v>665</v>
      </c>
      <c r="B440" s="2">
        <v>3003313</v>
      </c>
      <c r="D440" t="s">
        <v>486</v>
      </c>
      <c r="E440" s="5" t="s">
        <v>581</v>
      </c>
      <c r="F440" t="s">
        <v>576</v>
      </c>
      <c r="G440" t="s">
        <v>607</v>
      </c>
      <c r="H440" s="1">
        <v>4.4000000000000004</v>
      </c>
      <c r="I440" s="6">
        <v>9.26</v>
      </c>
      <c r="J440" s="6">
        <v>8.5</v>
      </c>
      <c r="K440" s="6">
        <v>4.6639999999999997</v>
      </c>
      <c r="L440">
        <v>8</v>
      </c>
      <c r="M440">
        <v>0</v>
      </c>
      <c r="N440" t="b">
        <v>0</v>
      </c>
      <c r="O440" t="b">
        <v>0</v>
      </c>
      <c r="P440" t="b">
        <v>1</v>
      </c>
    </row>
    <row r="441" spans="1:16" x14ac:dyDescent="0.45">
      <c r="A441" t="s">
        <v>666</v>
      </c>
      <c r="B441" s="2">
        <v>300779</v>
      </c>
      <c r="D441" t="s">
        <v>170</v>
      </c>
      <c r="E441" s="5" t="s">
        <v>1076</v>
      </c>
      <c r="F441" t="s">
        <v>38</v>
      </c>
      <c r="G441" t="s">
        <v>667</v>
      </c>
      <c r="H441" s="1">
        <v>4.992</v>
      </c>
      <c r="I441" s="6">
        <v>9.26</v>
      </c>
      <c r="J441" s="6">
        <v>8.1018000000000008</v>
      </c>
      <c r="K441" s="6">
        <v>5.2915200000000002</v>
      </c>
      <c r="L441">
        <v>8</v>
      </c>
      <c r="M441">
        <v>0</v>
      </c>
      <c r="N441" t="b">
        <v>0</v>
      </c>
      <c r="O441" t="b">
        <v>0</v>
      </c>
      <c r="P441" t="b">
        <v>1</v>
      </c>
    </row>
    <row r="442" spans="1:16" x14ac:dyDescent="0.45">
      <c r="A442" t="s">
        <v>668</v>
      </c>
      <c r="B442" s="2">
        <v>3003370</v>
      </c>
      <c r="D442" t="s">
        <v>170</v>
      </c>
      <c r="E442" s="5" t="s">
        <v>1076</v>
      </c>
      <c r="F442" t="s">
        <v>38</v>
      </c>
      <c r="G442" t="s">
        <v>667</v>
      </c>
      <c r="H442" s="1">
        <v>4.9340599999999997</v>
      </c>
      <c r="I442" s="6">
        <v>9.26</v>
      </c>
      <c r="J442" s="6">
        <v>8.1018000000000008</v>
      </c>
      <c r="K442" s="6">
        <v>5.2301035999999996</v>
      </c>
      <c r="L442">
        <v>8</v>
      </c>
      <c r="M442">
        <v>0</v>
      </c>
      <c r="N442" t="b">
        <v>0</v>
      </c>
      <c r="O442" t="b">
        <v>0</v>
      </c>
      <c r="P442" t="b">
        <v>1</v>
      </c>
    </row>
    <row r="443" spans="1:16" x14ac:dyDescent="0.45">
      <c r="A443" t="s">
        <v>669</v>
      </c>
      <c r="B443" s="2">
        <v>3003425</v>
      </c>
      <c r="D443" t="s">
        <v>170</v>
      </c>
      <c r="E443" s="5" t="s">
        <v>1076</v>
      </c>
      <c r="F443" t="s">
        <v>38</v>
      </c>
      <c r="G443" t="s">
        <v>667</v>
      </c>
      <c r="H443" s="1">
        <v>4.93</v>
      </c>
      <c r="I443" s="6">
        <v>9.26</v>
      </c>
      <c r="J443" s="6">
        <v>8.1018000000000008</v>
      </c>
      <c r="K443" s="6">
        <v>5.2257999999999996</v>
      </c>
      <c r="L443">
        <v>8</v>
      </c>
      <c r="M443">
        <v>0</v>
      </c>
      <c r="N443" t="b">
        <v>0</v>
      </c>
      <c r="O443" t="b">
        <v>0</v>
      </c>
      <c r="P443" t="b">
        <v>1</v>
      </c>
    </row>
    <row r="444" spans="1:16" x14ac:dyDescent="0.45">
      <c r="A444" t="s">
        <v>670</v>
      </c>
      <c r="B444" s="2">
        <v>559</v>
      </c>
      <c r="D444" t="s">
        <v>170</v>
      </c>
      <c r="E444" s="5" t="s">
        <v>1076</v>
      </c>
      <c r="F444" t="s">
        <v>38</v>
      </c>
      <c r="G444" t="s">
        <v>671</v>
      </c>
      <c r="H444" s="1">
        <v>19.670000000000002</v>
      </c>
      <c r="I444" s="6">
        <v>30.56</v>
      </c>
      <c r="J444" s="6">
        <v>30.56</v>
      </c>
      <c r="K444" s="6">
        <v>20.850200000000001</v>
      </c>
      <c r="L444">
        <v>8</v>
      </c>
      <c r="M444">
        <v>0</v>
      </c>
      <c r="N444" t="b">
        <v>0</v>
      </c>
      <c r="O444" t="b">
        <v>0</v>
      </c>
      <c r="P444" t="b">
        <v>1</v>
      </c>
    </row>
    <row r="445" spans="1:16" x14ac:dyDescent="0.45">
      <c r="A445" t="s">
        <v>672</v>
      </c>
      <c r="B445" s="2">
        <v>3000113</v>
      </c>
      <c r="D445" t="s">
        <v>170</v>
      </c>
      <c r="E445" s="5" t="s">
        <v>1076</v>
      </c>
      <c r="F445" t="s">
        <v>35</v>
      </c>
      <c r="G445" t="s">
        <v>673</v>
      </c>
      <c r="H445" s="1">
        <v>18.09273</v>
      </c>
      <c r="I445" s="6">
        <v>31.94</v>
      </c>
      <c r="J445" s="6">
        <v>31.94</v>
      </c>
      <c r="K445" s="6">
        <v>19.178293799999999</v>
      </c>
      <c r="L445">
        <v>0</v>
      </c>
      <c r="M445">
        <v>0</v>
      </c>
      <c r="N445" t="b">
        <v>0</v>
      </c>
      <c r="O445" t="b">
        <v>0</v>
      </c>
      <c r="P445" t="b">
        <v>1</v>
      </c>
    </row>
    <row r="446" spans="1:16" x14ac:dyDescent="0.45">
      <c r="A446" t="s">
        <v>674</v>
      </c>
      <c r="B446" s="2">
        <v>3003278</v>
      </c>
      <c r="C446" t="s">
        <v>33</v>
      </c>
      <c r="D446" t="s">
        <v>170</v>
      </c>
      <c r="E446" s="5" t="s">
        <v>1076</v>
      </c>
      <c r="F446" t="s">
        <v>38</v>
      </c>
      <c r="G446" t="s">
        <v>317</v>
      </c>
      <c r="H446" s="1">
        <v>16.579999999999998</v>
      </c>
      <c r="I446" s="6">
        <v>30</v>
      </c>
      <c r="J446" s="6">
        <f>340/12</f>
        <v>28.333333333333332</v>
      </c>
      <c r="K446" s="6">
        <v>30</v>
      </c>
      <c r="L446">
        <v>0</v>
      </c>
      <c r="M446">
        <v>300</v>
      </c>
      <c r="N446" t="b">
        <v>0</v>
      </c>
      <c r="O446" t="b">
        <v>0</v>
      </c>
      <c r="P446" t="b">
        <v>1</v>
      </c>
    </row>
    <row r="447" spans="1:16" x14ac:dyDescent="0.45">
      <c r="A447" t="s">
        <v>675</v>
      </c>
      <c r="B447" s="2">
        <v>3003472</v>
      </c>
      <c r="D447" t="s">
        <v>170</v>
      </c>
      <c r="E447" s="5" t="s">
        <v>1076</v>
      </c>
      <c r="F447" t="s">
        <v>38</v>
      </c>
      <c r="G447" t="s">
        <v>667</v>
      </c>
      <c r="H447" s="1">
        <v>7.57</v>
      </c>
      <c r="I447" s="6">
        <f>12/1.08</f>
        <v>11.111111111111111</v>
      </c>
      <c r="J447" s="6">
        <v>10.130000000000001</v>
      </c>
      <c r="K447" s="6">
        <v>8.0242000000000004</v>
      </c>
      <c r="L447">
        <v>8</v>
      </c>
      <c r="M447">
        <v>0</v>
      </c>
      <c r="N447" t="b">
        <v>0</v>
      </c>
      <c r="O447" t="b">
        <v>0</v>
      </c>
      <c r="P447" t="b">
        <v>1</v>
      </c>
    </row>
    <row r="448" spans="1:16" x14ac:dyDescent="0.45">
      <c r="A448" t="s">
        <v>676</v>
      </c>
      <c r="B448" s="2">
        <v>3003470</v>
      </c>
      <c r="D448" t="s">
        <v>170</v>
      </c>
      <c r="E448" s="5" t="s">
        <v>1076</v>
      </c>
      <c r="F448" t="s">
        <v>38</v>
      </c>
      <c r="G448" t="s">
        <v>677</v>
      </c>
      <c r="H448" s="1">
        <v>5.1318799999999998</v>
      </c>
      <c r="I448" s="6">
        <v>9.26</v>
      </c>
      <c r="J448" s="6">
        <v>8.391</v>
      </c>
      <c r="K448" s="6">
        <v>5.4397928000000002</v>
      </c>
      <c r="L448">
        <v>8</v>
      </c>
      <c r="M448">
        <v>0</v>
      </c>
      <c r="N448" t="b">
        <v>0</v>
      </c>
      <c r="O448" t="b">
        <v>0</v>
      </c>
      <c r="P448" t="b">
        <v>1</v>
      </c>
    </row>
    <row r="449" spans="1:16" x14ac:dyDescent="0.45">
      <c r="A449" t="s">
        <v>678</v>
      </c>
      <c r="B449" s="2">
        <v>3003271</v>
      </c>
      <c r="D449" t="s">
        <v>170</v>
      </c>
      <c r="E449" s="5" t="s">
        <v>1076</v>
      </c>
      <c r="F449" t="s">
        <v>38</v>
      </c>
      <c r="G449" t="s">
        <v>677</v>
      </c>
      <c r="H449" s="1">
        <v>4.6720300000000003</v>
      </c>
      <c r="I449" s="6">
        <v>9.26</v>
      </c>
      <c r="J449" s="6">
        <v>8.1010000000000009</v>
      </c>
      <c r="K449" s="6">
        <v>4.9523517999999997</v>
      </c>
      <c r="L449">
        <v>8</v>
      </c>
      <c r="M449">
        <v>0</v>
      </c>
      <c r="N449" t="b">
        <v>0</v>
      </c>
      <c r="O449" t="b">
        <v>0</v>
      </c>
      <c r="P449" t="b">
        <v>1</v>
      </c>
    </row>
    <row r="450" spans="1:16" x14ac:dyDescent="0.45">
      <c r="A450" t="s">
        <v>679</v>
      </c>
      <c r="B450" s="2">
        <v>3003469</v>
      </c>
      <c r="D450" t="s">
        <v>170</v>
      </c>
      <c r="E450" s="5" t="s">
        <v>1076</v>
      </c>
      <c r="F450" t="s">
        <v>38</v>
      </c>
      <c r="G450" t="s">
        <v>677</v>
      </c>
      <c r="H450" s="1">
        <v>5.13</v>
      </c>
      <c r="I450" s="6">
        <v>9.26</v>
      </c>
      <c r="J450" s="6">
        <v>8.391</v>
      </c>
      <c r="K450" s="6">
        <v>5.4378000000000002</v>
      </c>
      <c r="L450">
        <v>8</v>
      </c>
      <c r="M450">
        <v>0</v>
      </c>
      <c r="N450" t="b">
        <v>0</v>
      </c>
      <c r="O450" t="b">
        <v>0</v>
      </c>
      <c r="P450" t="b">
        <v>1</v>
      </c>
    </row>
    <row r="451" spans="1:16" x14ac:dyDescent="0.45">
      <c r="A451" t="s">
        <v>680</v>
      </c>
      <c r="B451" s="2">
        <v>3003471</v>
      </c>
      <c r="D451" t="s">
        <v>170</v>
      </c>
      <c r="E451" s="5" t="s">
        <v>1076</v>
      </c>
      <c r="F451" t="s">
        <v>38</v>
      </c>
      <c r="G451" t="s">
        <v>667</v>
      </c>
      <c r="H451" s="1">
        <v>7.5640000000000001</v>
      </c>
      <c r="I451" s="6">
        <f>12/1.08</f>
        <v>11.111111111111111</v>
      </c>
      <c r="J451" s="6">
        <v>10.130000000000001</v>
      </c>
      <c r="K451" s="6">
        <v>8.0178399999999996</v>
      </c>
      <c r="L451">
        <v>8</v>
      </c>
      <c r="M451">
        <v>0</v>
      </c>
      <c r="N451" t="b">
        <v>0</v>
      </c>
      <c r="O451" t="b">
        <v>0</v>
      </c>
      <c r="P451" t="b">
        <v>1</v>
      </c>
    </row>
    <row r="452" spans="1:16" x14ac:dyDescent="0.45">
      <c r="A452" t="s">
        <v>681</v>
      </c>
      <c r="B452" s="2">
        <v>3003272</v>
      </c>
      <c r="D452" t="s">
        <v>170</v>
      </c>
      <c r="E452" s="5" t="s">
        <v>1076</v>
      </c>
      <c r="F452" t="s">
        <v>38</v>
      </c>
      <c r="G452" t="s">
        <v>677</v>
      </c>
      <c r="H452" s="1">
        <v>4.6709399999999999</v>
      </c>
      <c r="I452" s="6">
        <v>8.44</v>
      </c>
      <c r="J452" s="6">
        <v>8.44</v>
      </c>
      <c r="K452" s="6">
        <v>4.9511963999999997</v>
      </c>
      <c r="L452">
        <v>8</v>
      </c>
      <c r="M452">
        <v>0</v>
      </c>
      <c r="N452" t="b">
        <v>0</v>
      </c>
      <c r="O452" t="b">
        <v>0</v>
      </c>
      <c r="P452" t="b">
        <v>1</v>
      </c>
    </row>
    <row r="453" spans="1:16" x14ac:dyDescent="0.45">
      <c r="A453" t="s">
        <v>682</v>
      </c>
      <c r="B453" s="2">
        <v>3003310</v>
      </c>
      <c r="D453" t="s">
        <v>170</v>
      </c>
      <c r="E453" s="5" t="s">
        <v>1076</v>
      </c>
      <c r="F453" t="s">
        <v>38</v>
      </c>
      <c r="G453" t="s">
        <v>677</v>
      </c>
      <c r="H453" s="1">
        <v>4.6719799999999996</v>
      </c>
      <c r="I453" s="6">
        <v>8.44</v>
      </c>
      <c r="J453" s="6">
        <v>8.44</v>
      </c>
      <c r="K453" s="6">
        <v>4.9522988000000003</v>
      </c>
      <c r="L453">
        <v>8</v>
      </c>
      <c r="M453">
        <v>0</v>
      </c>
      <c r="N453" t="b">
        <v>0</v>
      </c>
      <c r="O453" t="b">
        <v>0</v>
      </c>
      <c r="P453" t="b">
        <v>1</v>
      </c>
    </row>
    <row r="454" spans="1:16" x14ac:dyDescent="0.45">
      <c r="A454" t="s">
        <v>683</v>
      </c>
      <c r="B454" s="2">
        <v>3003320</v>
      </c>
      <c r="D454" t="s">
        <v>170</v>
      </c>
      <c r="E454" s="5" t="s">
        <v>1076</v>
      </c>
      <c r="F454" t="s">
        <v>51</v>
      </c>
      <c r="G454" t="s">
        <v>684</v>
      </c>
      <c r="H454" s="1">
        <v>54.78</v>
      </c>
      <c r="I454" s="6">
        <v>80</v>
      </c>
      <c r="J454" s="6">
        <v>80</v>
      </c>
      <c r="K454" s="6">
        <v>58.066800000000001</v>
      </c>
      <c r="L454">
        <v>8</v>
      </c>
      <c r="M454">
        <v>0</v>
      </c>
      <c r="N454" t="b">
        <v>0</v>
      </c>
      <c r="O454" t="b">
        <v>0</v>
      </c>
      <c r="P454" t="b">
        <v>1</v>
      </c>
    </row>
    <row r="455" spans="1:16" x14ac:dyDescent="0.45">
      <c r="A455" t="s">
        <v>685</v>
      </c>
      <c r="B455" s="2">
        <v>3003366</v>
      </c>
      <c r="D455" t="s">
        <v>170</v>
      </c>
      <c r="E455" s="5" t="s">
        <v>1076</v>
      </c>
      <c r="F455" t="s">
        <v>51</v>
      </c>
      <c r="G455" t="s">
        <v>686</v>
      </c>
      <c r="H455" s="1">
        <v>62.818019999999997</v>
      </c>
      <c r="I455" s="6">
        <v>125</v>
      </c>
      <c r="J455" s="6">
        <v>120.37</v>
      </c>
      <c r="K455" s="6">
        <v>66.587101200000006</v>
      </c>
      <c r="L455">
        <v>8</v>
      </c>
      <c r="M455">
        <v>0</v>
      </c>
      <c r="N455" t="b">
        <v>0</v>
      </c>
      <c r="O455" t="b">
        <v>0</v>
      </c>
      <c r="P455" t="b">
        <v>1</v>
      </c>
    </row>
    <row r="456" spans="1:16" x14ac:dyDescent="0.45">
      <c r="A456" t="s">
        <v>687</v>
      </c>
      <c r="B456" s="2">
        <v>3003358</v>
      </c>
      <c r="D456" t="s">
        <v>170</v>
      </c>
      <c r="E456" s="5" t="s">
        <v>1076</v>
      </c>
      <c r="F456" t="s">
        <v>51</v>
      </c>
      <c r="G456" t="s">
        <v>214</v>
      </c>
      <c r="H456" s="1">
        <v>14.086209999999999</v>
      </c>
      <c r="I456" s="6">
        <v>32.407409999999999</v>
      </c>
      <c r="J456" s="6">
        <v>27.77778</v>
      </c>
      <c r="K456" s="6">
        <v>14.931382599999999</v>
      </c>
      <c r="L456">
        <v>8</v>
      </c>
      <c r="M456">
        <v>0</v>
      </c>
      <c r="N456" t="b">
        <v>0</v>
      </c>
      <c r="O456" t="b">
        <v>0</v>
      </c>
      <c r="P456" t="b">
        <v>1</v>
      </c>
    </row>
    <row r="457" spans="1:16" x14ac:dyDescent="0.45">
      <c r="A457" t="s">
        <v>688</v>
      </c>
      <c r="B457" s="2">
        <v>3003417</v>
      </c>
      <c r="D457" t="s">
        <v>170</v>
      </c>
      <c r="E457" s="5" t="s">
        <v>1076</v>
      </c>
      <c r="F457" t="s">
        <v>51</v>
      </c>
      <c r="G457" t="s">
        <v>45</v>
      </c>
      <c r="H457" s="1">
        <v>304.70015999999998</v>
      </c>
      <c r="I457" s="6">
        <v>555.55555555000001</v>
      </c>
      <c r="J457" s="6">
        <v>555.55555555000001</v>
      </c>
      <c r="K457" s="6">
        <v>322.98216960000002</v>
      </c>
      <c r="L457">
        <v>8</v>
      </c>
      <c r="M457">
        <v>10</v>
      </c>
      <c r="N457" t="b">
        <v>0</v>
      </c>
      <c r="O457" t="b">
        <v>0</v>
      </c>
      <c r="P457" t="b">
        <v>1</v>
      </c>
    </row>
    <row r="458" spans="1:16" x14ac:dyDescent="0.45">
      <c r="A458" t="s">
        <v>689</v>
      </c>
      <c r="B458" s="2">
        <v>3003277</v>
      </c>
      <c r="D458" t="s">
        <v>170</v>
      </c>
      <c r="E458" s="5" t="s">
        <v>1076</v>
      </c>
      <c r="F458" t="s">
        <v>51</v>
      </c>
      <c r="G458" t="s">
        <v>150</v>
      </c>
      <c r="H458" s="1">
        <v>12.46</v>
      </c>
      <c r="I458" s="6">
        <v>20</v>
      </c>
      <c r="J458" s="6">
        <v>19</v>
      </c>
      <c r="K458" s="6">
        <v>13.207599999999999</v>
      </c>
      <c r="L458">
        <v>8</v>
      </c>
      <c r="M458">
        <v>0</v>
      </c>
      <c r="N458" t="b">
        <v>0</v>
      </c>
      <c r="O458" t="b">
        <v>0</v>
      </c>
      <c r="P458" t="b">
        <v>1</v>
      </c>
    </row>
    <row r="459" spans="1:16" x14ac:dyDescent="0.45">
      <c r="A459" t="s">
        <v>690</v>
      </c>
      <c r="B459" s="2">
        <v>3003343</v>
      </c>
      <c r="C459" t="s">
        <v>33</v>
      </c>
      <c r="D459" t="s">
        <v>170</v>
      </c>
      <c r="E459" s="5" t="s">
        <v>1076</v>
      </c>
      <c r="F459" t="s">
        <v>588</v>
      </c>
      <c r="H459" s="1">
        <v>11.29</v>
      </c>
      <c r="I459" s="6">
        <f>22/1.08</f>
        <v>20.37037037037037</v>
      </c>
      <c r="J459" s="6">
        <v>19</v>
      </c>
      <c r="K459" s="6">
        <v>12.96</v>
      </c>
      <c r="L459">
        <v>8</v>
      </c>
      <c r="M459">
        <v>48</v>
      </c>
      <c r="N459" t="b">
        <v>1</v>
      </c>
      <c r="O459" t="b">
        <v>0</v>
      </c>
      <c r="P459" t="b">
        <v>1</v>
      </c>
    </row>
    <row r="460" spans="1:16" x14ac:dyDescent="0.45">
      <c r="A460" t="s">
        <v>691</v>
      </c>
      <c r="B460" s="2">
        <v>3003323</v>
      </c>
      <c r="C460" t="s">
        <v>33</v>
      </c>
      <c r="D460" t="s">
        <v>170</v>
      </c>
      <c r="E460" s="5" t="s">
        <v>1076</v>
      </c>
      <c r="F460" t="s">
        <v>588</v>
      </c>
      <c r="G460" t="s">
        <v>692</v>
      </c>
      <c r="H460" s="1">
        <v>23.22</v>
      </c>
      <c r="I460" s="6">
        <f>50/1.08</f>
        <v>46.296296296296291</v>
      </c>
      <c r="J460" s="6">
        <v>45</v>
      </c>
      <c r="K460" s="6">
        <v>25</v>
      </c>
      <c r="L460">
        <v>8</v>
      </c>
      <c r="M460">
        <v>24</v>
      </c>
      <c r="N460" t="b">
        <v>1</v>
      </c>
      <c r="O460" t="b">
        <v>0</v>
      </c>
      <c r="P460" t="b">
        <v>1</v>
      </c>
    </row>
    <row r="461" spans="1:16" x14ac:dyDescent="0.45">
      <c r="A461" t="s">
        <v>693</v>
      </c>
      <c r="B461" s="2">
        <v>3003335</v>
      </c>
      <c r="C461" t="s">
        <v>33</v>
      </c>
      <c r="D461" t="s">
        <v>170</v>
      </c>
      <c r="E461" s="5" t="s">
        <v>1076</v>
      </c>
      <c r="F461" t="s">
        <v>588</v>
      </c>
      <c r="G461" t="s">
        <v>694</v>
      </c>
      <c r="H461" s="1">
        <v>10.3</v>
      </c>
      <c r="I461" s="6">
        <f>22/1.08</f>
        <v>20.37037037037037</v>
      </c>
      <c r="J461" s="6">
        <v>19</v>
      </c>
      <c r="K461" s="6">
        <v>12</v>
      </c>
      <c r="L461">
        <v>8</v>
      </c>
      <c r="M461">
        <v>48</v>
      </c>
      <c r="N461" t="b">
        <v>1</v>
      </c>
      <c r="O461" t="b">
        <v>0</v>
      </c>
      <c r="P461" t="b">
        <v>1</v>
      </c>
    </row>
    <row r="462" spans="1:16" x14ac:dyDescent="0.45">
      <c r="A462" t="s">
        <v>695</v>
      </c>
      <c r="B462" s="2">
        <v>3003334</v>
      </c>
      <c r="C462" t="s">
        <v>33</v>
      </c>
      <c r="D462" t="s">
        <v>170</v>
      </c>
      <c r="E462" s="5" t="s">
        <v>1076</v>
      </c>
      <c r="F462" t="s">
        <v>588</v>
      </c>
      <c r="G462" t="s">
        <v>696</v>
      </c>
      <c r="H462" s="1">
        <v>9.9700000000000006</v>
      </c>
      <c r="I462" s="6">
        <f>22/1.08</f>
        <v>20.37037037037037</v>
      </c>
      <c r="J462" s="6">
        <v>18.5</v>
      </c>
      <c r="K462" s="6">
        <v>12.96</v>
      </c>
      <c r="L462">
        <v>8</v>
      </c>
      <c r="M462">
        <v>48</v>
      </c>
      <c r="N462" t="b">
        <v>1</v>
      </c>
      <c r="O462" t="b">
        <v>0</v>
      </c>
      <c r="P462" t="b">
        <v>1</v>
      </c>
    </row>
    <row r="463" spans="1:16" x14ac:dyDescent="0.45">
      <c r="A463" t="s">
        <v>697</v>
      </c>
      <c r="B463" s="2">
        <v>3003088</v>
      </c>
      <c r="C463" t="s">
        <v>33</v>
      </c>
      <c r="D463" t="s">
        <v>170</v>
      </c>
      <c r="E463" s="5" t="s">
        <v>1076</v>
      </c>
      <c r="F463" t="s">
        <v>588</v>
      </c>
      <c r="G463" t="s">
        <v>698</v>
      </c>
      <c r="H463" s="1">
        <v>22.41</v>
      </c>
      <c r="I463" s="6">
        <v>41.666670000000003</v>
      </c>
      <c r="J463" s="6">
        <v>37.037039999999998</v>
      </c>
      <c r="K463" s="6">
        <v>27</v>
      </c>
      <c r="L463">
        <v>8</v>
      </c>
      <c r="M463">
        <v>24</v>
      </c>
      <c r="N463" t="b">
        <v>1</v>
      </c>
      <c r="O463" t="b">
        <v>0</v>
      </c>
      <c r="P463" t="b">
        <v>1</v>
      </c>
    </row>
    <row r="464" spans="1:16" x14ac:dyDescent="0.45">
      <c r="A464" t="s">
        <v>699</v>
      </c>
      <c r="B464" s="2">
        <v>3003322</v>
      </c>
      <c r="C464" t="s">
        <v>33</v>
      </c>
      <c r="D464" t="s">
        <v>170</v>
      </c>
      <c r="E464" s="5" t="s">
        <v>1076</v>
      </c>
      <c r="F464" t="s">
        <v>585</v>
      </c>
      <c r="G464" t="s">
        <v>700</v>
      </c>
      <c r="H464" s="1">
        <v>62.69</v>
      </c>
      <c r="I464" s="6">
        <f>130/1.08</f>
        <v>120.37037037037037</v>
      </c>
      <c r="J464" s="6">
        <v>118</v>
      </c>
      <c r="K464" s="6">
        <v>70</v>
      </c>
      <c r="L464">
        <v>8</v>
      </c>
      <c r="M464">
        <v>24</v>
      </c>
      <c r="N464" t="b">
        <v>1</v>
      </c>
      <c r="O464" t="b">
        <v>0</v>
      </c>
      <c r="P464" t="b">
        <v>1</v>
      </c>
    </row>
    <row r="465" spans="1:16" x14ac:dyDescent="0.45">
      <c r="A465" t="s">
        <v>701</v>
      </c>
      <c r="B465" s="2">
        <v>3003275</v>
      </c>
      <c r="D465" t="s">
        <v>170</v>
      </c>
      <c r="E465" s="5" t="s">
        <v>1076</v>
      </c>
      <c r="F465" t="s">
        <v>38</v>
      </c>
      <c r="G465" t="s">
        <v>150</v>
      </c>
      <c r="H465" s="1">
        <v>12.464</v>
      </c>
      <c r="I465" s="6">
        <v>20</v>
      </c>
      <c r="J465" s="6">
        <v>20</v>
      </c>
      <c r="K465" s="6">
        <v>13.21184</v>
      </c>
      <c r="L465">
        <v>8</v>
      </c>
      <c r="M465">
        <v>0</v>
      </c>
      <c r="N465" t="b">
        <v>0</v>
      </c>
      <c r="O465" t="b">
        <v>0</v>
      </c>
      <c r="P465" t="b">
        <v>1</v>
      </c>
    </row>
    <row r="466" spans="1:16" x14ac:dyDescent="0.45">
      <c r="A466" t="s">
        <v>702</v>
      </c>
      <c r="B466" s="2">
        <v>3003089</v>
      </c>
      <c r="D466" t="s">
        <v>170</v>
      </c>
      <c r="E466" s="5" t="s">
        <v>1076</v>
      </c>
      <c r="F466" t="s">
        <v>38</v>
      </c>
      <c r="G466" t="s">
        <v>150</v>
      </c>
      <c r="H466" s="1">
        <v>12.46</v>
      </c>
      <c r="I466" s="6">
        <v>20</v>
      </c>
      <c r="J466" s="6">
        <v>20</v>
      </c>
      <c r="K466" s="6">
        <v>13.207599999999999</v>
      </c>
      <c r="L466">
        <v>8</v>
      </c>
      <c r="M466">
        <v>0</v>
      </c>
      <c r="N466" t="b">
        <v>0</v>
      </c>
      <c r="O466" t="b">
        <v>0</v>
      </c>
      <c r="P466" t="b">
        <v>1</v>
      </c>
    </row>
    <row r="467" spans="1:16" x14ac:dyDescent="0.45">
      <c r="A467" t="s">
        <v>703</v>
      </c>
      <c r="B467" s="2">
        <v>3003276</v>
      </c>
      <c r="D467" t="s">
        <v>170</v>
      </c>
      <c r="E467" s="5" t="s">
        <v>1076</v>
      </c>
      <c r="F467" t="s">
        <v>51</v>
      </c>
      <c r="G467" t="s">
        <v>150</v>
      </c>
      <c r="H467" s="1">
        <v>12.464</v>
      </c>
      <c r="I467" s="6">
        <v>20</v>
      </c>
      <c r="J467" s="6">
        <v>20</v>
      </c>
      <c r="K467" s="6">
        <v>13.21184</v>
      </c>
      <c r="L467">
        <v>8</v>
      </c>
      <c r="M467">
        <v>0</v>
      </c>
      <c r="N467" t="b">
        <v>0</v>
      </c>
      <c r="O467" t="b">
        <v>0</v>
      </c>
      <c r="P467" t="b">
        <v>1</v>
      </c>
    </row>
    <row r="468" spans="1:16" x14ac:dyDescent="0.45">
      <c r="A468" t="s">
        <v>704</v>
      </c>
      <c r="B468" s="2">
        <v>6000144</v>
      </c>
      <c r="D468" t="s">
        <v>34</v>
      </c>
      <c r="F468" t="s">
        <v>159</v>
      </c>
      <c r="G468" t="s">
        <v>705</v>
      </c>
      <c r="H468" s="1">
        <v>105</v>
      </c>
      <c r="I468" s="6">
        <v>291.60000000000002</v>
      </c>
      <c r="J468" s="6">
        <v>291.60000000000002</v>
      </c>
      <c r="K468" s="6">
        <v>111.3</v>
      </c>
      <c r="L468">
        <v>8</v>
      </c>
      <c r="M468">
        <v>0</v>
      </c>
      <c r="N468" t="b">
        <v>0</v>
      </c>
      <c r="O468" t="b">
        <v>0</v>
      </c>
      <c r="P468" t="b">
        <v>1</v>
      </c>
    </row>
    <row r="469" spans="1:16" x14ac:dyDescent="0.45">
      <c r="A469" t="s">
        <v>706</v>
      </c>
      <c r="B469" s="2">
        <v>314</v>
      </c>
      <c r="D469" t="s">
        <v>41</v>
      </c>
      <c r="F469" t="s">
        <v>51</v>
      </c>
      <c r="G469" t="s">
        <v>47</v>
      </c>
      <c r="H469" s="1">
        <v>326.73</v>
      </c>
      <c r="I469" s="6">
        <v>540</v>
      </c>
      <c r="J469" s="6">
        <v>540</v>
      </c>
      <c r="K469" s="6">
        <v>346.3338</v>
      </c>
      <c r="L469">
        <v>8</v>
      </c>
      <c r="M469">
        <v>0</v>
      </c>
      <c r="N469" t="b">
        <v>0</v>
      </c>
      <c r="O469" t="b">
        <v>0</v>
      </c>
      <c r="P469" t="b">
        <v>1</v>
      </c>
    </row>
    <row r="470" spans="1:16" x14ac:dyDescent="0.45">
      <c r="A470" t="s">
        <v>707</v>
      </c>
      <c r="B470" s="2">
        <v>6000097</v>
      </c>
      <c r="D470" t="s">
        <v>34</v>
      </c>
      <c r="F470" t="s">
        <v>35</v>
      </c>
      <c r="G470" t="s">
        <v>708</v>
      </c>
      <c r="H470" s="1">
        <v>55</v>
      </c>
      <c r="I470" s="6">
        <v>131.66999999999999</v>
      </c>
      <c r="J470" s="6">
        <v>131.66999999999999</v>
      </c>
      <c r="K470" s="6">
        <v>58.3</v>
      </c>
      <c r="L470">
        <v>8</v>
      </c>
      <c r="M470">
        <v>0</v>
      </c>
      <c r="N470" t="b">
        <v>0</v>
      </c>
      <c r="O470" t="b">
        <v>0</v>
      </c>
      <c r="P470" t="b">
        <v>1</v>
      </c>
    </row>
    <row r="471" spans="1:16" x14ac:dyDescent="0.45">
      <c r="A471" t="s">
        <v>709</v>
      </c>
      <c r="B471" s="2">
        <v>3000675</v>
      </c>
      <c r="D471" t="s">
        <v>41</v>
      </c>
      <c r="F471" t="s">
        <v>35</v>
      </c>
      <c r="G471" t="s">
        <v>72</v>
      </c>
      <c r="H471" s="1">
        <v>13.695449999999999</v>
      </c>
      <c r="I471" s="6">
        <v>15.62</v>
      </c>
      <c r="J471" s="6">
        <v>15.62</v>
      </c>
      <c r="K471" s="6">
        <v>14.517177</v>
      </c>
      <c r="L471">
        <v>8</v>
      </c>
      <c r="M471">
        <v>0</v>
      </c>
      <c r="N471" t="b">
        <v>0</v>
      </c>
      <c r="O471" t="b">
        <v>0</v>
      </c>
      <c r="P471" t="b">
        <v>1</v>
      </c>
    </row>
    <row r="472" spans="1:16" x14ac:dyDescent="0.45">
      <c r="A472" t="s">
        <v>710</v>
      </c>
      <c r="B472" s="2">
        <v>1009154</v>
      </c>
      <c r="D472" t="s">
        <v>41</v>
      </c>
      <c r="F472" t="s">
        <v>35</v>
      </c>
      <c r="G472" t="s">
        <v>449</v>
      </c>
      <c r="H472" s="1">
        <v>64.239999999999995</v>
      </c>
      <c r="I472" s="6">
        <v>125</v>
      </c>
      <c r="J472" s="6">
        <v>121.91</v>
      </c>
      <c r="K472" s="6">
        <v>68.094399999999993</v>
      </c>
      <c r="L472">
        <v>8</v>
      </c>
      <c r="M472">
        <v>30</v>
      </c>
      <c r="N472" t="b">
        <v>0</v>
      </c>
      <c r="O472" t="b">
        <v>0</v>
      </c>
      <c r="P472" t="b">
        <v>1</v>
      </c>
    </row>
    <row r="473" spans="1:16" x14ac:dyDescent="0.45">
      <c r="A473" t="s">
        <v>711</v>
      </c>
      <c r="B473" s="2">
        <v>1101076</v>
      </c>
      <c r="D473" t="s">
        <v>41</v>
      </c>
      <c r="F473" t="s">
        <v>35</v>
      </c>
      <c r="G473" t="s">
        <v>449</v>
      </c>
      <c r="H473" s="1">
        <v>100</v>
      </c>
      <c r="I473" s="6">
        <v>134.2593</v>
      </c>
      <c r="J473" s="6">
        <v>131.16999999999999</v>
      </c>
      <c r="K473" s="6">
        <v>106</v>
      </c>
      <c r="L473">
        <v>8</v>
      </c>
      <c r="M473">
        <v>60</v>
      </c>
      <c r="N473" t="b">
        <v>0</v>
      </c>
      <c r="O473" t="b">
        <v>0</v>
      </c>
      <c r="P473" t="b">
        <v>1</v>
      </c>
    </row>
    <row r="474" spans="1:16" x14ac:dyDescent="0.45">
      <c r="A474" t="s">
        <v>712</v>
      </c>
      <c r="B474" s="2">
        <v>6000190</v>
      </c>
      <c r="D474" t="s">
        <v>34</v>
      </c>
      <c r="F474" t="s">
        <v>35</v>
      </c>
      <c r="G474" t="s">
        <v>72</v>
      </c>
      <c r="H474" s="1">
        <v>14.467560000000001</v>
      </c>
      <c r="I474" s="6">
        <v>22.92</v>
      </c>
      <c r="J474" s="6">
        <v>22.92</v>
      </c>
      <c r="K474" s="6">
        <v>15.3356136</v>
      </c>
      <c r="L474">
        <v>8</v>
      </c>
      <c r="M474">
        <v>0</v>
      </c>
      <c r="N474" t="b">
        <v>0</v>
      </c>
      <c r="O474" t="b">
        <v>0</v>
      </c>
      <c r="P474" t="b">
        <v>1</v>
      </c>
    </row>
    <row r="475" spans="1:16" x14ac:dyDescent="0.45">
      <c r="A475" t="s">
        <v>713</v>
      </c>
      <c r="B475" s="2">
        <v>3003248</v>
      </c>
      <c r="D475" t="s">
        <v>357</v>
      </c>
      <c r="F475" t="s">
        <v>42</v>
      </c>
      <c r="G475" t="s">
        <v>714</v>
      </c>
      <c r="H475" s="1">
        <v>71.832999999999998</v>
      </c>
      <c r="I475" s="6">
        <v>129.6</v>
      </c>
      <c r="J475" s="6">
        <v>129.6</v>
      </c>
      <c r="K475" s="6">
        <v>76.142979999999994</v>
      </c>
      <c r="L475">
        <v>8</v>
      </c>
      <c r="M475">
        <v>0</v>
      </c>
      <c r="N475" t="b">
        <v>0</v>
      </c>
      <c r="O475" t="b">
        <v>0</v>
      </c>
      <c r="P475" t="b">
        <v>1</v>
      </c>
    </row>
    <row r="476" spans="1:16" x14ac:dyDescent="0.45">
      <c r="A476" t="s">
        <v>715</v>
      </c>
      <c r="B476" s="2">
        <v>156</v>
      </c>
      <c r="D476" t="s">
        <v>357</v>
      </c>
      <c r="F476" t="s">
        <v>42</v>
      </c>
      <c r="G476" t="s">
        <v>47</v>
      </c>
      <c r="H476" s="1">
        <v>158.55000000000001</v>
      </c>
      <c r="I476" s="6">
        <v>248.4</v>
      </c>
      <c r="J476" s="6">
        <v>248.4</v>
      </c>
      <c r="K476" s="6">
        <v>168.06299999999999</v>
      </c>
      <c r="L476">
        <v>8</v>
      </c>
      <c r="M476">
        <v>0</v>
      </c>
      <c r="N476" t="b">
        <v>0</v>
      </c>
      <c r="O476" t="b">
        <v>0</v>
      </c>
      <c r="P476" t="b">
        <v>1</v>
      </c>
    </row>
    <row r="477" spans="1:16" x14ac:dyDescent="0.45">
      <c r="A477" t="s">
        <v>716</v>
      </c>
      <c r="B477" s="2">
        <v>3000647</v>
      </c>
      <c r="D477" t="s">
        <v>41</v>
      </c>
      <c r="F477" t="s">
        <v>159</v>
      </c>
      <c r="G477" t="s">
        <v>717</v>
      </c>
      <c r="H477" s="1">
        <v>26.26</v>
      </c>
      <c r="I477" s="6">
        <v>50</v>
      </c>
      <c r="J477" s="6">
        <v>50</v>
      </c>
      <c r="K477" s="6">
        <v>27.835599999999999</v>
      </c>
      <c r="L477">
        <v>8</v>
      </c>
      <c r="M477">
        <v>30</v>
      </c>
      <c r="N477" t="b">
        <v>0</v>
      </c>
      <c r="O477" t="b">
        <v>0</v>
      </c>
      <c r="P477" t="b">
        <v>1</v>
      </c>
    </row>
    <row r="478" spans="1:16" x14ac:dyDescent="0.45">
      <c r="A478" t="s">
        <v>718</v>
      </c>
      <c r="B478" s="2">
        <v>1009933</v>
      </c>
      <c r="D478" t="s">
        <v>41</v>
      </c>
      <c r="F478" t="s">
        <v>159</v>
      </c>
      <c r="G478" t="s">
        <v>719</v>
      </c>
      <c r="H478" s="1">
        <v>60.002220000000001</v>
      </c>
      <c r="I478" s="6">
        <v>108.33</v>
      </c>
      <c r="J478" s="6">
        <v>108.33</v>
      </c>
      <c r="K478" s="6">
        <v>63.602353200000003</v>
      </c>
      <c r="L478">
        <v>8</v>
      </c>
      <c r="M478">
        <v>30</v>
      </c>
      <c r="N478" t="b">
        <v>0</v>
      </c>
      <c r="O478" t="b">
        <v>0</v>
      </c>
      <c r="P478" t="b">
        <v>1</v>
      </c>
    </row>
    <row r="479" spans="1:16" x14ac:dyDescent="0.45">
      <c r="A479" t="s">
        <v>720</v>
      </c>
      <c r="B479" s="2">
        <v>297</v>
      </c>
      <c r="D479" t="s">
        <v>41</v>
      </c>
      <c r="F479" t="s">
        <v>42</v>
      </c>
      <c r="G479" t="s">
        <v>47</v>
      </c>
      <c r="H479" s="1">
        <v>25.95</v>
      </c>
      <c r="I479" s="6">
        <v>55</v>
      </c>
      <c r="J479" s="6">
        <v>55</v>
      </c>
      <c r="K479" s="6">
        <v>27.507000000000001</v>
      </c>
      <c r="L479">
        <v>8</v>
      </c>
      <c r="M479">
        <v>0</v>
      </c>
      <c r="N479" t="b">
        <v>0</v>
      </c>
      <c r="O479" t="b">
        <v>0</v>
      </c>
      <c r="P479" t="b">
        <v>1</v>
      </c>
    </row>
    <row r="480" spans="1:16" x14ac:dyDescent="0.45">
      <c r="A480" t="s">
        <v>721</v>
      </c>
      <c r="B480" s="2">
        <v>3000309</v>
      </c>
      <c r="D480" t="s">
        <v>41</v>
      </c>
      <c r="F480" t="s">
        <v>159</v>
      </c>
      <c r="G480" t="s">
        <v>722</v>
      </c>
      <c r="H480" s="1">
        <v>34.37433</v>
      </c>
      <c r="I480" s="6">
        <v>65</v>
      </c>
      <c r="J480" s="6">
        <v>65</v>
      </c>
      <c r="K480" s="6">
        <v>36.4367898</v>
      </c>
      <c r="L480">
        <v>8</v>
      </c>
      <c r="M480">
        <v>120</v>
      </c>
      <c r="N480" t="b">
        <v>0</v>
      </c>
      <c r="O480" t="b">
        <v>0</v>
      </c>
      <c r="P480" t="b">
        <v>1</v>
      </c>
    </row>
    <row r="481" spans="1:16" x14ac:dyDescent="0.45">
      <c r="A481" t="s">
        <v>723</v>
      </c>
      <c r="B481" s="2">
        <v>3003468</v>
      </c>
      <c r="D481" t="s">
        <v>502</v>
      </c>
      <c r="F481" t="s">
        <v>42</v>
      </c>
      <c r="G481" t="s">
        <v>65</v>
      </c>
      <c r="H481" s="1">
        <v>128.97</v>
      </c>
      <c r="I481" s="6">
        <v>240</v>
      </c>
      <c r="J481" s="6">
        <v>240</v>
      </c>
      <c r="K481" s="6">
        <v>136.70820000000001</v>
      </c>
      <c r="L481">
        <v>8</v>
      </c>
      <c r="M481">
        <v>0</v>
      </c>
      <c r="N481" t="b">
        <v>0</v>
      </c>
      <c r="O481" t="b">
        <v>0</v>
      </c>
      <c r="P481" t="b">
        <v>1</v>
      </c>
    </row>
    <row r="482" spans="1:16" x14ac:dyDescent="0.45">
      <c r="A482" t="s">
        <v>724</v>
      </c>
      <c r="B482" s="2">
        <v>1009136</v>
      </c>
      <c r="D482" t="s">
        <v>502</v>
      </c>
      <c r="F482" t="s">
        <v>42</v>
      </c>
      <c r="G482" t="s">
        <v>725</v>
      </c>
      <c r="H482" s="1">
        <v>68.62</v>
      </c>
      <c r="I482" s="6">
        <v>169.75299999999999</v>
      </c>
      <c r="J482" s="6">
        <v>164.64</v>
      </c>
      <c r="K482" s="6">
        <v>72.737200000000001</v>
      </c>
      <c r="L482">
        <v>8</v>
      </c>
      <c r="M482">
        <v>180</v>
      </c>
      <c r="N482" t="b">
        <v>0</v>
      </c>
      <c r="O482" t="b">
        <v>0</v>
      </c>
      <c r="P482" t="b">
        <v>1</v>
      </c>
    </row>
    <row r="483" spans="1:16" x14ac:dyDescent="0.45">
      <c r="A483" t="s">
        <v>726</v>
      </c>
      <c r="B483" s="2">
        <v>6000098</v>
      </c>
      <c r="D483" t="s">
        <v>34</v>
      </c>
      <c r="F483" t="s">
        <v>42</v>
      </c>
      <c r="G483" t="s">
        <v>101</v>
      </c>
      <c r="H483" s="1">
        <v>125</v>
      </c>
      <c r="I483" s="6">
        <v>169.75299999999999</v>
      </c>
      <c r="J483" s="6">
        <v>164.64</v>
      </c>
      <c r="K483" s="6">
        <v>132.5</v>
      </c>
      <c r="L483">
        <v>8</v>
      </c>
      <c r="M483">
        <v>0</v>
      </c>
      <c r="N483" t="b">
        <v>0</v>
      </c>
      <c r="O483" t="b">
        <v>0</v>
      </c>
      <c r="P483" t="b">
        <v>1</v>
      </c>
    </row>
    <row r="484" spans="1:16" x14ac:dyDescent="0.45">
      <c r="A484" t="s">
        <v>727</v>
      </c>
      <c r="B484" s="2">
        <v>1007915</v>
      </c>
      <c r="D484" t="s">
        <v>502</v>
      </c>
      <c r="F484" t="s">
        <v>42</v>
      </c>
      <c r="G484" t="s">
        <v>449</v>
      </c>
      <c r="H484" s="1">
        <v>88.531310000000005</v>
      </c>
      <c r="I484" s="6">
        <v>171.29629</v>
      </c>
      <c r="J484" s="6">
        <v>165.12</v>
      </c>
      <c r="K484" s="6">
        <v>93.843188600000005</v>
      </c>
      <c r="L484">
        <v>8</v>
      </c>
      <c r="M484">
        <v>180</v>
      </c>
      <c r="N484" t="b">
        <v>0</v>
      </c>
      <c r="O484" t="b">
        <v>0</v>
      </c>
      <c r="P484" t="b">
        <v>1</v>
      </c>
    </row>
    <row r="485" spans="1:16" x14ac:dyDescent="0.45">
      <c r="A485" t="s">
        <v>728</v>
      </c>
      <c r="B485" s="2">
        <v>1008634</v>
      </c>
      <c r="D485" t="s">
        <v>502</v>
      </c>
      <c r="F485" t="s">
        <v>42</v>
      </c>
      <c r="G485" t="s">
        <v>65</v>
      </c>
      <c r="H485" s="1">
        <v>125.21</v>
      </c>
      <c r="I485" s="6">
        <v>245</v>
      </c>
      <c r="J485" s="6">
        <v>240</v>
      </c>
      <c r="K485" s="6">
        <v>132.7226</v>
      </c>
      <c r="L485">
        <v>8</v>
      </c>
      <c r="M485">
        <v>50</v>
      </c>
      <c r="N485" t="b">
        <v>0</v>
      </c>
      <c r="O485" t="b">
        <v>0</v>
      </c>
      <c r="P485" t="b">
        <v>1</v>
      </c>
    </row>
    <row r="486" spans="1:16" x14ac:dyDescent="0.45">
      <c r="A486" t="s">
        <v>729</v>
      </c>
      <c r="B486" s="2">
        <v>1008602</v>
      </c>
      <c r="D486" t="s">
        <v>502</v>
      </c>
      <c r="F486" t="s">
        <v>42</v>
      </c>
      <c r="G486" t="s">
        <v>65</v>
      </c>
      <c r="H486" s="1">
        <v>159.05000000000001</v>
      </c>
      <c r="I486" s="6">
        <v>315</v>
      </c>
      <c r="J486" s="6">
        <v>310</v>
      </c>
      <c r="K486" s="6">
        <v>168.59299999999999</v>
      </c>
      <c r="L486">
        <v>8</v>
      </c>
      <c r="M486">
        <v>30</v>
      </c>
      <c r="N486" t="b">
        <v>0</v>
      </c>
      <c r="O486" t="b">
        <v>0</v>
      </c>
      <c r="P486" t="b">
        <v>1</v>
      </c>
    </row>
    <row r="487" spans="1:16" x14ac:dyDescent="0.45">
      <c r="A487" t="s">
        <v>730</v>
      </c>
      <c r="B487" s="2">
        <v>1016218</v>
      </c>
      <c r="D487" t="s">
        <v>170</v>
      </c>
      <c r="F487" t="s">
        <v>38</v>
      </c>
      <c r="G487" t="s">
        <v>317</v>
      </c>
      <c r="H487" s="1">
        <v>50.321919999999999</v>
      </c>
      <c r="I487" s="6">
        <v>200</v>
      </c>
      <c r="J487" s="6">
        <v>200</v>
      </c>
      <c r="K487" s="6">
        <v>53.3412352</v>
      </c>
      <c r="L487">
        <v>8</v>
      </c>
      <c r="M487">
        <v>60</v>
      </c>
      <c r="N487" t="b">
        <v>0</v>
      </c>
      <c r="O487" t="b">
        <v>0</v>
      </c>
      <c r="P487" t="b">
        <v>1</v>
      </c>
    </row>
    <row r="488" spans="1:16" x14ac:dyDescent="0.45">
      <c r="A488" t="s">
        <v>731</v>
      </c>
      <c r="B488" s="2">
        <v>1101130</v>
      </c>
      <c r="D488" t="s">
        <v>416</v>
      </c>
      <c r="E488" s="5" t="s">
        <v>1073</v>
      </c>
      <c r="F488" t="s">
        <v>51</v>
      </c>
      <c r="G488" t="s">
        <v>317</v>
      </c>
      <c r="H488" s="1">
        <v>41.54</v>
      </c>
      <c r="I488" s="6">
        <v>76.41</v>
      </c>
      <c r="J488" s="6">
        <v>76.41</v>
      </c>
      <c r="K488" s="6">
        <v>44.032400000000003</v>
      </c>
      <c r="L488">
        <v>8</v>
      </c>
      <c r="M488">
        <v>0</v>
      </c>
      <c r="N488" t="b">
        <v>0</v>
      </c>
      <c r="O488" t="b">
        <v>0</v>
      </c>
      <c r="P488" t="b">
        <v>1</v>
      </c>
    </row>
    <row r="489" spans="1:16" x14ac:dyDescent="0.45">
      <c r="A489" t="s">
        <v>732</v>
      </c>
      <c r="B489" s="2">
        <v>3000711</v>
      </c>
      <c r="D489" t="s">
        <v>416</v>
      </c>
      <c r="E489" s="5" t="s">
        <v>1073</v>
      </c>
      <c r="F489" t="s">
        <v>51</v>
      </c>
      <c r="G489" t="s">
        <v>317</v>
      </c>
      <c r="H489" s="1">
        <v>52.253</v>
      </c>
      <c r="I489" s="6">
        <v>86.4</v>
      </c>
      <c r="J489" s="6">
        <v>86.4</v>
      </c>
      <c r="K489" s="6">
        <v>55.388179999999998</v>
      </c>
      <c r="L489">
        <v>8</v>
      </c>
      <c r="M489">
        <v>0</v>
      </c>
      <c r="N489" t="b">
        <v>0</v>
      </c>
      <c r="O489" t="b">
        <v>0</v>
      </c>
      <c r="P489" t="b">
        <v>1</v>
      </c>
    </row>
    <row r="490" spans="1:16" x14ac:dyDescent="0.45">
      <c r="A490" t="s">
        <v>733</v>
      </c>
      <c r="B490" s="2">
        <v>1101100</v>
      </c>
      <c r="D490" t="s">
        <v>416</v>
      </c>
      <c r="E490" s="5" t="s">
        <v>1073</v>
      </c>
      <c r="F490" t="s">
        <v>51</v>
      </c>
      <c r="G490" t="s">
        <v>317</v>
      </c>
      <c r="H490" s="1">
        <v>60.19</v>
      </c>
      <c r="I490" s="6">
        <v>97.2</v>
      </c>
      <c r="J490" s="6">
        <v>97.2</v>
      </c>
      <c r="K490" s="6">
        <v>63.801400000000001</v>
      </c>
      <c r="L490">
        <v>8</v>
      </c>
      <c r="M490">
        <v>0</v>
      </c>
      <c r="N490" t="b">
        <v>0</v>
      </c>
      <c r="O490" t="b">
        <v>0</v>
      </c>
      <c r="P490" t="b">
        <v>1</v>
      </c>
    </row>
    <row r="491" spans="1:16" x14ac:dyDescent="0.45">
      <c r="A491" t="s">
        <v>734</v>
      </c>
      <c r="B491" s="2">
        <v>1101073</v>
      </c>
      <c r="D491" t="s">
        <v>416</v>
      </c>
      <c r="E491" s="5" t="s">
        <v>1073</v>
      </c>
      <c r="F491" t="s">
        <v>51</v>
      </c>
      <c r="G491" t="s">
        <v>317</v>
      </c>
      <c r="H491" s="1">
        <v>47.232999999999997</v>
      </c>
      <c r="I491" s="6">
        <v>86.4</v>
      </c>
      <c r="J491" s="6">
        <v>86.4</v>
      </c>
      <c r="K491" s="6">
        <v>50.066980000000001</v>
      </c>
      <c r="L491">
        <v>8</v>
      </c>
      <c r="M491">
        <v>0</v>
      </c>
      <c r="N491" t="b">
        <v>0</v>
      </c>
      <c r="O491" t="b">
        <v>0</v>
      </c>
      <c r="P491" t="b">
        <v>1</v>
      </c>
    </row>
    <row r="492" spans="1:16" x14ac:dyDescent="0.45">
      <c r="A492" t="s">
        <v>735</v>
      </c>
      <c r="B492" s="2">
        <v>6000191</v>
      </c>
      <c r="D492" t="s">
        <v>34</v>
      </c>
      <c r="F492" t="s">
        <v>35</v>
      </c>
      <c r="G492" t="s">
        <v>736</v>
      </c>
      <c r="H492" s="1">
        <v>30.864170000000001</v>
      </c>
      <c r="I492" s="6">
        <v>43.2</v>
      </c>
      <c r="J492" s="6">
        <v>43.2</v>
      </c>
      <c r="K492" s="6">
        <v>32.716020200000003</v>
      </c>
      <c r="L492">
        <v>8</v>
      </c>
      <c r="M492">
        <v>0</v>
      </c>
      <c r="N492" t="b">
        <v>0</v>
      </c>
      <c r="O492" t="b">
        <v>0</v>
      </c>
      <c r="P492" t="b">
        <v>1</v>
      </c>
    </row>
    <row r="493" spans="1:16" x14ac:dyDescent="0.45">
      <c r="A493" t="s">
        <v>737</v>
      </c>
      <c r="B493" s="2">
        <v>6000099</v>
      </c>
      <c r="D493" t="s">
        <v>34</v>
      </c>
      <c r="F493" t="s">
        <v>38</v>
      </c>
      <c r="G493" t="s">
        <v>72</v>
      </c>
      <c r="H493" s="1">
        <v>19</v>
      </c>
      <c r="I493" s="6">
        <v>35</v>
      </c>
      <c r="J493" s="6">
        <v>35</v>
      </c>
      <c r="K493" s="6">
        <v>20.14</v>
      </c>
      <c r="L493">
        <v>8</v>
      </c>
      <c r="M493">
        <v>0</v>
      </c>
      <c r="N493" t="b">
        <v>0</v>
      </c>
      <c r="O493" t="b">
        <v>0</v>
      </c>
      <c r="P493" t="b">
        <v>1</v>
      </c>
    </row>
    <row r="494" spans="1:16" x14ac:dyDescent="0.45">
      <c r="A494" t="s">
        <v>738</v>
      </c>
      <c r="B494" s="2">
        <v>1009670</v>
      </c>
      <c r="D494" t="s">
        <v>41</v>
      </c>
      <c r="F494" t="s">
        <v>51</v>
      </c>
      <c r="G494" t="s">
        <v>739</v>
      </c>
      <c r="H494" s="1">
        <v>9.8454899999999999</v>
      </c>
      <c r="I494" s="6">
        <v>27.77778</v>
      </c>
      <c r="J494" s="6">
        <v>18.98</v>
      </c>
      <c r="K494" s="6">
        <v>10.436219400000001</v>
      </c>
      <c r="L494">
        <v>8</v>
      </c>
      <c r="M494">
        <v>150</v>
      </c>
      <c r="N494" t="b">
        <v>0</v>
      </c>
      <c r="O494" t="b">
        <v>0</v>
      </c>
      <c r="P494" t="b">
        <v>1</v>
      </c>
    </row>
    <row r="495" spans="1:16" x14ac:dyDescent="0.45">
      <c r="A495" t="s">
        <v>740</v>
      </c>
      <c r="B495" s="2">
        <v>3000039</v>
      </c>
      <c r="C495" t="s">
        <v>33</v>
      </c>
      <c r="D495" t="s">
        <v>574</v>
      </c>
      <c r="E495" s="5" t="s">
        <v>33</v>
      </c>
      <c r="F495" t="s">
        <v>38</v>
      </c>
      <c r="G495" t="s">
        <v>72</v>
      </c>
      <c r="H495" s="1">
        <v>21</v>
      </c>
      <c r="I495" s="6">
        <v>3256.65</v>
      </c>
      <c r="J495" s="6">
        <v>31.32</v>
      </c>
      <c r="K495" s="6">
        <v>23.76</v>
      </c>
      <c r="L495">
        <v>8</v>
      </c>
      <c r="M495">
        <v>48</v>
      </c>
      <c r="N495" t="b">
        <v>1</v>
      </c>
      <c r="O495" t="b">
        <v>0</v>
      </c>
      <c r="P495" t="b">
        <v>1</v>
      </c>
    </row>
    <row r="496" spans="1:16" x14ac:dyDescent="0.45">
      <c r="A496" t="s">
        <v>741</v>
      </c>
      <c r="B496" s="2">
        <v>1009446</v>
      </c>
      <c r="D496" t="s">
        <v>41</v>
      </c>
      <c r="F496" t="s">
        <v>38</v>
      </c>
      <c r="G496" t="s">
        <v>742</v>
      </c>
      <c r="H496" s="1">
        <v>10.3</v>
      </c>
      <c r="I496" s="6">
        <v>30</v>
      </c>
      <c r="J496" s="6">
        <v>30</v>
      </c>
      <c r="K496" s="6">
        <v>10.917999999999999</v>
      </c>
      <c r="L496">
        <v>8</v>
      </c>
      <c r="M496">
        <v>0</v>
      </c>
      <c r="N496" t="b">
        <v>0</v>
      </c>
      <c r="O496" t="b">
        <v>0</v>
      </c>
      <c r="P496" t="b">
        <v>1</v>
      </c>
    </row>
    <row r="497" spans="1:16" x14ac:dyDescent="0.45">
      <c r="A497" t="s">
        <v>743</v>
      </c>
      <c r="B497" s="2">
        <v>3003511</v>
      </c>
      <c r="D497" t="s">
        <v>41</v>
      </c>
      <c r="F497" t="s">
        <v>38</v>
      </c>
      <c r="G497" t="s">
        <v>744</v>
      </c>
      <c r="H497" s="1">
        <v>32.103000000000002</v>
      </c>
      <c r="I497" s="6">
        <v>46.296300000000002</v>
      </c>
      <c r="J497" s="6">
        <v>44.75</v>
      </c>
      <c r="K497" s="6">
        <v>34.029179999999997</v>
      </c>
      <c r="L497">
        <v>8</v>
      </c>
      <c r="M497">
        <v>0</v>
      </c>
      <c r="N497" t="b">
        <v>0</v>
      </c>
      <c r="O497" t="b">
        <v>0</v>
      </c>
      <c r="P497" t="b">
        <v>1</v>
      </c>
    </row>
    <row r="498" spans="1:16" x14ac:dyDescent="0.45">
      <c r="A498" t="s">
        <v>745</v>
      </c>
      <c r="B498" s="2">
        <v>464</v>
      </c>
      <c r="D498" t="s">
        <v>41</v>
      </c>
      <c r="F498" t="s">
        <v>51</v>
      </c>
      <c r="G498" t="s">
        <v>746</v>
      </c>
      <c r="H498" s="1">
        <v>60.14</v>
      </c>
      <c r="I498" s="6">
        <v>118.8</v>
      </c>
      <c r="J498" s="6">
        <v>118.8</v>
      </c>
      <c r="K498" s="6">
        <v>63.748399999999997</v>
      </c>
      <c r="L498">
        <v>8</v>
      </c>
      <c r="M498">
        <v>0</v>
      </c>
      <c r="N498" t="b">
        <v>0</v>
      </c>
      <c r="O498" t="b">
        <v>0</v>
      </c>
      <c r="P498" t="b">
        <v>1</v>
      </c>
    </row>
    <row r="499" spans="1:16" x14ac:dyDescent="0.45">
      <c r="A499" t="s">
        <v>747</v>
      </c>
      <c r="B499" s="2">
        <v>6000100</v>
      </c>
      <c r="D499" t="s">
        <v>34</v>
      </c>
      <c r="F499" t="s">
        <v>38</v>
      </c>
      <c r="G499" t="s">
        <v>748</v>
      </c>
      <c r="H499" s="1">
        <v>50</v>
      </c>
      <c r="I499" s="6">
        <v>90</v>
      </c>
      <c r="J499" s="6">
        <v>90</v>
      </c>
      <c r="K499" s="6">
        <v>53</v>
      </c>
      <c r="L499">
        <v>8</v>
      </c>
      <c r="M499">
        <v>0</v>
      </c>
      <c r="N499" t="b">
        <v>0</v>
      </c>
      <c r="O499" t="b">
        <v>0</v>
      </c>
      <c r="P499" t="b">
        <v>1</v>
      </c>
    </row>
    <row r="500" spans="1:16" x14ac:dyDescent="0.45">
      <c r="A500" t="s">
        <v>749</v>
      </c>
      <c r="B500" s="2">
        <v>3000208</v>
      </c>
      <c r="D500" t="s">
        <v>41</v>
      </c>
      <c r="F500" t="s">
        <v>159</v>
      </c>
      <c r="G500" t="s">
        <v>750</v>
      </c>
      <c r="H500" s="1">
        <v>57.914999999999999</v>
      </c>
      <c r="I500" s="6">
        <v>93.33</v>
      </c>
      <c r="J500" s="6">
        <v>93.33</v>
      </c>
      <c r="K500" s="6">
        <v>61.389899999999997</v>
      </c>
      <c r="L500">
        <v>8</v>
      </c>
      <c r="M500">
        <v>75</v>
      </c>
      <c r="N500" t="b">
        <v>0</v>
      </c>
      <c r="O500" t="b">
        <v>0</v>
      </c>
      <c r="P500" t="b">
        <v>1</v>
      </c>
    </row>
    <row r="501" spans="1:16" x14ac:dyDescent="0.45">
      <c r="A501" t="s">
        <v>751</v>
      </c>
      <c r="B501" s="2">
        <v>681</v>
      </c>
      <c r="D501" t="s">
        <v>41</v>
      </c>
      <c r="F501" t="s">
        <v>159</v>
      </c>
      <c r="G501" t="s">
        <v>752</v>
      </c>
      <c r="H501" s="1">
        <v>379.71</v>
      </c>
      <c r="I501" s="6">
        <v>700</v>
      </c>
      <c r="J501" s="6">
        <v>700</v>
      </c>
      <c r="K501" s="6">
        <v>402.49259999999998</v>
      </c>
      <c r="L501">
        <v>8</v>
      </c>
      <c r="M501">
        <v>0</v>
      </c>
      <c r="N501" t="b">
        <v>0</v>
      </c>
      <c r="O501" t="b">
        <v>0</v>
      </c>
      <c r="P501" t="b">
        <v>1</v>
      </c>
    </row>
    <row r="502" spans="1:16" x14ac:dyDescent="0.45">
      <c r="A502" t="s">
        <v>753</v>
      </c>
      <c r="B502" s="2">
        <v>3000092</v>
      </c>
      <c r="D502" t="s">
        <v>41</v>
      </c>
      <c r="F502" t="s">
        <v>38</v>
      </c>
      <c r="G502" t="s">
        <v>86</v>
      </c>
      <c r="H502" s="1">
        <v>19.829999999999998</v>
      </c>
      <c r="I502" s="6">
        <v>40</v>
      </c>
      <c r="J502" s="6">
        <v>40</v>
      </c>
      <c r="K502" s="6">
        <v>21.0198</v>
      </c>
      <c r="L502">
        <v>8</v>
      </c>
      <c r="M502">
        <v>0</v>
      </c>
      <c r="N502" t="b">
        <v>0</v>
      </c>
      <c r="O502" t="b">
        <v>0</v>
      </c>
      <c r="P502" t="b">
        <v>1</v>
      </c>
    </row>
    <row r="503" spans="1:16" x14ac:dyDescent="0.45">
      <c r="A503" t="s">
        <v>754</v>
      </c>
      <c r="B503" s="2">
        <v>185</v>
      </c>
      <c r="D503" t="s">
        <v>357</v>
      </c>
      <c r="F503" t="s">
        <v>42</v>
      </c>
      <c r="G503" t="s">
        <v>47</v>
      </c>
      <c r="H503" s="1">
        <v>80.153000000000006</v>
      </c>
      <c r="I503" s="6">
        <v>145.80000000000001</v>
      </c>
      <c r="J503" s="6">
        <v>145.80000000000001</v>
      </c>
      <c r="K503" s="6">
        <v>84.962180000000004</v>
      </c>
      <c r="L503">
        <v>8</v>
      </c>
      <c r="M503">
        <v>0</v>
      </c>
      <c r="N503" t="b">
        <v>0</v>
      </c>
      <c r="O503" t="b">
        <v>0</v>
      </c>
      <c r="P503" t="b">
        <v>1</v>
      </c>
    </row>
    <row r="504" spans="1:16" x14ac:dyDescent="0.45">
      <c r="A504" t="s">
        <v>755</v>
      </c>
      <c r="B504" s="2">
        <v>6000192</v>
      </c>
      <c r="D504" t="s">
        <v>34</v>
      </c>
      <c r="F504" t="s">
        <v>159</v>
      </c>
      <c r="G504" t="s">
        <v>317</v>
      </c>
      <c r="H504" s="1">
        <v>105</v>
      </c>
      <c r="I504" s="6">
        <v>200</v>
      </c>
      <c r="J504" s="6">
        <v>200</v>
      </c>
      <c r="K504" s="6">
        <v>111.3</v>
      </c>
      <c r="L504">
        <v>8</v>
      </c>
      <c r="M504">
        <v>0</v>
      </c>
      <c r="N504" t="b">
        <v>0</v>
      </c>
      <c r="O504" t="b">
        <v>0</v>
      </c>
      <c r="P504" t="b">
        <v>1</v>
      </c>
    </row>
    <row r="505" spans="1:16" x14ac:dyDescent="0.45">
      <c r="A505" t="s">
        <v>756</v>
      </c>
      <c r="B505" s="2">
        <v>6000101</v>
      </c>
      <c r="D505" t="s">
        <v>34</v>
      </c>
      <c r="F505" t="s">
        <v>159</v>
      </c>
      <c r="G505" t="s">
        <v>317</v>
      </c>
      <c r="H505" s="1">
        <v>59.413499999999999</v>
      </c>
      <c r="I505" s="6">
        <v>97.5</v>
      </c>
      <c r="J505" s="6">
        <v>97.5</v>
      </c>
      <c r="K505" s="6">
        <v>62.97831</v>
      </c>
      <c r="L505">
        <v>8</v>
      </c>
      <c r="M505">
        <v>0</v>
      </c>
      <c r="N505" t="b">
        <v>0</v>
      </c>
      <c r="O505" t="b">
        <v>0</v>
      </c>
      <c r="P505" t="b">
        <v>1</v>
      </c>
    </row>
    <row r="506" spans="1:16" x14ac:dyDescent="0.45">
      <c r="A506" t="s">
        <v>757</v>
      </c>
      <c r="B506" s="2">
        <v>3000275</v>
      </c>
      <c r="D506" t="s">
        <v>41</v>
      </c>
      <c r="F506" t="s">
        <v>159</v>
      </c>
      <c r="G506" t="s">
        <v>492</v>
      </c>
      <c r="H506" s="1">
        <v>28.53</v>
      </c>
      <c r="I506" s="6">
        <v>55</v>
      </c>
      <c r="J506" s="6">
        <v>55</v>
      </c>
      <c r="K506" s="6">
        <v>30.241800000000001</v>
      </c>
      <c r="L506">
        <v>8</v>
      </c>
      <c r="M506">
        <v>60</v>
      </c>
      <c r="N506" t="b">
        <v>0</v>
      </c>
      <c r="O506" t="b">
        <v>0</v>
      </c>
      <c r="P506" t="b">
        <v>1</v>
      </c>
    </row>
    <row r="507" spans="1:16" x14ac:dyDescent="0.45">
      <c r="A507" t="s">
        <v>758</v>
      </c>
      <c r="B507" s="2">
        <v>1009862</v>
      </c>
      <c r="D507" t="s">
        <v>41</v>
      </c>
      <c r="F507" t="s">
        <v>159</v>
      </c>
      <c r="G507" t="s">
        <v>759</v>
      </c>
      <c r="H507" s="1">
        <v>74.075000000000003</v>
      </c>
      <c r="I507" s="6">
        <v>100</v>
      </c>
      <c r="J507" s="6">
        <v>100</v>
      </c>
      <c r="K507" s="6">
        <v>78.519499999999994</v>
      </c>
      <c r="L507">
        <v>0</v>
      </c>
      <c r="M507">
        <v>60</v>
      </c>
      <c r="N507" t="b">
        <v>0</v>
      </c>
      <c r="O507" t="b">
        <v>0</v>
      </c>
      <c r="P507" t="b">
        <v>1</v>
      </c>
    </row>
    <row r="508" spans="1:16" x14ac:dyDescent="0.45">
      <c r="A508" t="s">
        <v>760</v>
      </c>
      <c r="B508" s="2">
        <v>6000102</v>
      </c>
      <c r="D508" t="s">
        <v>34</v>
      </c>
      <c r="F508" t="s">
        <v>159</v>
      </c>
      <c r="G508" t="s">
        <v>761</v>
      </c>
      <c r="H508" s="1">
        <v>80</v>
      </c>
      <c r="I508" s="6">
        <v>95</v>
      </c>
      <c r="J508" s="6">
        <v>95</v>
      </c>
      <c r="K508" s="6">
        <v>84.8</v>
      </c>
      <c r="L508">
        <v>0</v>
      </c>
      <c r="M508">
        <v>0</v>
      </c>
      <c r="N508" t="b">
        <v>0</v>
      </c>
      <c r="O508" t="b">
        <v>0</v>
      </c>
      <c r="P508" t="b">
        <v>1</v>
      </c>
    </row>
    <row r="509" spans="1:16" x14ac:dyDescent="0.45">
      <c r="A509" t="s">
        <v>762</v>
      </c>
      <c r="B509" s="2">
        <v>273</v>
      </c>
      <c r="D509" t="s">
        <v>41</v>
      </c>
      <c r="F509" t="s">
        <v>159</v>
      </c>
      <c r="G509" t="s">
        <v>347</v>
      </c>
      <c r="H509" s="1">
        <v>73.333330000000004</v>
      </c>
      <c r="I509" s="6">
        <v>95</v>
      </c>
      <c r="J509" s="6">
        <v>95</v>
      </c>
      <c r="K509" s="6">
        <v>77.733329800000007</v>
      </c>
      <c r="L509">
        <v>0</v>
      </c>
      <c r="M509">
        <v>0</v>
      </c>
      <c r="N509" t="b">
        <v>0</v>
      </c>
      <c r="O509" t="b">
        <v>0</v>
      </c>
      <c r="P509" t="b">
        <v>1</v>
      </c>
    </row>
    <row r="510" spans="1:16" x14ac:dyDescent="0.45">
      <c r="A510" t="s">
        <v>763</v>
      </c>
      <c r="B510" s="2">
        <v>1101081</v>
      </c>
      <c r="D510" t="s">
        <v>41</v>
      </c>
      <c r="F510" t="s">
        <v>35</v>
      </c>
      <c r="G510" t="s">
        <v>449</v>
      </c>
      <c r="H510" s="1">
        <v>138.9</v>
      </c>
      <c r="I510" s="6">
        <v>310</v>
      </c>
      <c r="J510" s="6">
        <v>280.10000000000002</v>
      </c>
      <c r="K510" s="6">
        <v>147.23400000000001</v>
      </c>
      <c r="L510">
        <v>8</v>
      </c>
      <c r="M510">
        <v>30</v>
      </c>
      <c r="N510" t="b">
        <v>0</v>
      </c>
      <c r="O510" t="b">
        <v>0</v>
      </c>
      <c r="P510" t="b">
        <v>1</v>
      </c>
    </row>
    <row r="511" spans="1:16" x14ac:dyDescent="0.45">
      <c r="A511" t="s">
        <v>764</v>
      </c>
      <c r="B511" s="2">
        <v>6000103</v>
      </c>
      <c r="D511" t="s">
        <v>34</v>
      </c>
      <c r="F511" t="s">
        <v>35</v>
      </c>
      <c r="G511" t="s">
        <v>449</v>
      </c>
      <c r="H511" s="1">
        <v>202.01231000000001</v>
      </c>
      <c r="I511" s="6">
        <v>310</v>
      </c>
      <c r="J511" s="6">
        <v>280.10000000000002</v>
      </c>
      <c r="K511" s="6">
        <v>214.1330486</v>
      </c>
      <c r="L511">
        <v>8</v>
      </c>
      <c r="M511">
        <v>0</v>
      </c>
      <c r="N511" t="b">
        <v>0</v>
      </c>
      <c r="O511" t="b">
        <v>0</v>
      </c>
      <c r="P511" t="b">
        <v>1</v>
      </c>
    </row>
    <row r="512" spans="1:16" x14ac:dyDescent="0.45">
      <c r="A512" t="s">
        <v>765</v>
      </c>
      <c r="B512" s="2">
        <v>6000104</v>
      </c>
      <c r="D512" t="s">
        <v>34</v>
      </c>
      <c r="F512" t="s">
        <v>159</v>
      </c>
      <c r="G512" t="s">
        <v>766</v>
      </c>
      <c r="H512" s="1">
        <v>95.243849999999995</v>
      </c>
      <c r="I512" s="6">
        <v>135</v>
      </c>
      <c r="J512" s="6">
        <v>130</v>
      </c>
      <c r="K512" s="6">
        <v>100.95848100000001</v>
      </c>
      <c r="L512">
        <v>0</v>
      </c>
      <c r="M512">
        <v>0</v>
      </c>
      <c r="N512" t="b">
        <v>0</v>
      </c>
      <c r="O512" t="b">
        <v>0</v>
      </c>
      <c r="P512" t="b">
        <v>1</v>
      </c>
    </row>
    <row r="513" spans="1:16" x14ac:dyDescent="0.45">
      <c r="A513" t="s">
        <v>767</v>
      </c>
      <c r="B513" s="2">
        <v>6000193</v>
      </c>
      <c r="D513" t="s">
        <v>34</v>
      </c>
      <c r="F513" t="s">
        <v>159</v>
      </c>
      <c r="G513" t="s">
        <v>768</v>
      </c>
      <c r="H513" s="1">
        <v>49.63158</v>
      </c>
      <c r="I513" s="6">
        <v>70</v>
      </c>
      <c r="J513" s="6">
        <v>70</v>
      </c>
      <c r="K513" s="6">
        <v>52.609474800000001</v>
      </c>
      <c r="L513">
        <v>0</v>
      </c>
      <c r="M513">
        <v>0</v>
      </c>
      <c r="N513" t="b">
        <v>0</v>
      </c>
      <c r="O513" t="b">
        <v>0</v>
      </c>
      <c r="P513" t="b">
        <v>1</v>
      </c>
    </row>
    <row r="514" spans="1:16" x14ac:dyDescent="0.45">
      <c r="A514" t="s">
        <v>769</v>
      </c>
      <c r="B514" s="2">
        <v>1009645</v>
      </c>
      <c r="D514" t="s">
        <v>41</v>
      </c>
      <c r="E514" s="5" t="s">
        <v>1077</v>
      </c>
      <c r="F514" t="s">
        <v>35</v>
      </c>
      <c r="G514" t="s">
        <v>619</v>
      </c>
      <c r="H514" s="1">
        <v>215.72906</v>
      </c>
      <c r="I514" s="6">
        <v>475</v>
      </c>
      <c r="J514" s="6">
        <v>450</v>
      </c>
      <c r="K514" s="6">
        <v>228.67280360000001</v>
      </c>
      <c r="L514">
        <v>0</v>
      </c>
      <c r="M514">
        <v>40</v>
      </c>
      <c r="N514" t="b">
        <v>0</v>
      </c>
      <c r="O514" t="b">
        <v>0</v>
      </c>
      <c r="P514" t="b">
        <v>1</v>
      </c>
    </row>
    <row r="515" spans="1:16" x14ac:dyDescent="0.45">
      <c r="A515" t="s">
        <v>770</v>
      </c>
      <c r="B515" s="2">
        <v>1101151</v>
      </c>
      <c r="D515" t="s">
        <v>41</v>
      </c>
      <c r="E515" s="5" t="s">
        <v>1077</v>
      </c>
      <c r="F515" t="s">
        <v>159</v>
      </c>
      <c r="G515" t="s">
        <v>771</v>
      </c>
      <c r="H515" s="1">
        <v>668.67</v>
      </c>
      <c r="I515" s="6">
        <v>1000</v>
      </c>
      <c r="J515" s="6">
        <v>950</v>
      </c>
      <c r="K515" s="6">
        <v>708.79020000000003</v>
      </c>
      <c r="L515">
        <v>0</v>
      </c>
      <c r="M515">
        <v>0</v>
      </c>
      <c r="N515" t="b">
        <v>0</v>
      </c>
      <c r="O515" t="b">
        <v>0</v>
      </c>
      <c r="P515" t="b">
        <v>1</v>
      </c>
    </row>
    <row r="516" spans="1:16" x14ac:dyDescent="0.45">
      <c r="A516" t="s">
        <v>772</v>
      </c>
      <c r="B516" s="2">
        <v>6000105</v>
      </c>
      <c r="D516" t="s">
        <v>34</v>
      </c>
      <c r="F516" t="s">
        <v>159</v>
      </c>
      <c r="G516" t="s">
        <v>773</v>
      </c>
      <c r="H516" s="1">
        <v>360</v>
      </c>
      <c r="I516" s="6">
        <v>500</v>
      </c>
      <c r="J516" s="6">
        <v>500</v>
      </c>
      <c r="K516" s="6">
        <v>381.6</v>
      </c>
      <c r="L516">
        <v>0</v>
      </c>
      <c r="M516">
        <v>0</v>
      </c>
      <c r="N516" t="b">
        <v>0</v>
      </c>
      <c r="O516" t="b">
        <v>0</v>
      </c>
      <c r="P516" t="b">
        <v>1</v>
      </c>
    </row>
    <row r="517" spans="1:16" x14ac:dyDescent="0.45">
      <c r="A517" t="s">
        <v>774</v>
      </c>
      <c r="B517" s="2">
        <v>1101080</v>
      </c>
      <c r="D517" t="s">
        <v>41</v>
      </c>
      <c r="F517" t="s">
        <v>35</v>
      </c>
      <c r="G517" t="s">
        <v>449</v>
      </c>
      <c r="H517" s="1">
        <v>138.38</v>
      </c>
      <c r="I517" s="6">
        <v>310</v>
      </c>
      <c r="J517" s="6">
        <v>280.10000000000002</v>
      </c>
      <c r="K517" s="6">
        <v>146.68279999999999</v>
      </c>
      <c r="L517">
        <v>8</v>
      </c>
      <c r="M517">
        <v>60</v>
      </c>
      <c r="N517" t="b">
        <v>0</v>
      </c>
      <c r="O517" t="b">
        <v>0</v>
      </c>
      <c r="P517" t="b">
        <v>1</v>
      </c>
    </row>
    <row r="518" spans="1:16" x14ac:dyDescent="0.45">
      <c r="A518" t="s">
        <v>775</v>
      </c>
      <c r="B518" s="2">
        <v>6000106</v>
      </c>
      <c r="D518" t="s">
        <v>34</v>
      </c>
      <c r="F518" t="s">
        <v>35</v>
      </c>
      <c r="G518" t="s">
        <v>449</v>
      </c>
      <c r="H518" s="1">
        <v>204.28572</v>
      </c>
      <c r="I518" s="6">
        <v>310</v>
      </c>
      <c r="J518" s="6">
        <v>280.10000000000002</v>
      </c>
      <c r="K518" s="6">
        <v>216.5428632</v>
      </c>
      <c r="L518">
        <v>8</v>
      </c>
      <c r="M518">
        <v>0</v>
      </c>
      <c r="N518" t="b">
        <v>0</v>
      </c>
      <c r="O518" t="b">
        <v>0</v>
      </c>
      <c r="P518" t="b">
        <v>1</v>
      </c>
    </row>
    <row r="519" spans="1:16" x14ac:dyDescent="0.45">
      <c r="A519" t="s">
        <v>776</v>
      </c>
      <c r="B519" s="2">
        <v>86</v>
      </c>
      <c r="D519" t="s">
        <v>41</v>
      </c>
      <c r="F519" t="s">
        <v>35</v>
      </c>
      <c r="G519" t="s">
        <v>777</v>
      </c>
      <c r="H519" s="1">
        <v>122.48287000000001</v>
      </c>
      <c r="I519" s="6">
        <v>183.6</v>
      </c>
      <c r="J519" s="6">
        <v>183.6</v>
      </c>
      <c r="K519" s="6">
        <v>129.83184220000001</v>
      </c>
      <c r="L519">
        <v>8</v>
      </c>
      <c r="M519">
        <v>0</v>
      </c>
      <c r="N519" t="b">
        <v>0</v>
      </c>
      <c r="O519" t="b">
        <v>0</v>
      </c>
      <c r="P519" t="b">
        <v>1</v>
      </c>
    </row>
    <row r="520" spans="1:16" x14ac:dyDescent="0.45">
      <c r="A520" t="s">
        <v>778</v>
      </c>
      <c r="B520" s="2">
        <v>1101107</v>
      </c>
      <c r="D520" t="s">
        <v>41</v>
      </c>
      <c r="F520" t="s">
        <v>159</v>
      </c>
      <c r="G520" t="s">
        <v>779</v>
      </c>
      <c r="H520" s="1">
        <v>280.99</v>
      </c>
      <c r="I520" s="6">
        <v>518.51850000000002</v>
      </c>
      <c r="J520" s="6">
        <v>516.98</v>
      </c>
      <c r="K520" s="6">
        <v>297.8494</v>
      </c>
      <c r="L520">
        <v>8</v>
      </c>
      <c r="M520">
        <v>0</v>
      </c>
      <c r="N520" t="b">
        <v>0</v>
      </c>
      <c r="O520" t="b">
        <v>0</v>
      </c>
      <c r="P520" t="b">
        <v>1</v>
      </c>
    </row>
    <row r="521" spans="1:16" x14ac:dyDescent="0.45">
      <c r="A521" t="s">
        <v>780</v>
      </c>
      <c r="B521" s="2">
        <v>6000107</v>
      </c>
      <c r="D521" t="s">
        <v>34</v>
      </c>
      <c r="F521" t="s">
        <v>42</v>
      </c>
      <c r="G521" t="s">
        <v>65</v>
      </c>
      <c r="H521" s="1">
        <v>12</v>
      </c>
      <c r="I521" s="6">
        <v>48.6</v>
      </c>
      <c r="J521" s="6">
        <v>48.6</v>
      </c>
      <c r="K521" s="6">
        <v>12.72</v>
      </c>
      <c r="L521">
        <v>8</v>
      </c>
      <c r="M521">
        <v>0</v>
      </c>
      <c r="N521" t="b">
        <v>0</v>
      </c>
      <c r="O521" t="b">
        <v>0</v>
      </c>
      <c r="P521" t="b">
        <v>1</v>
      </c>
    </row>
    <row r="522" spans="1:16" x14ac:dyDescent="0.45">
      <c r="A522" t="s">
        <v>781</v>
      </c>
      <c r="B522" s="2">
        <v>3003381</v>
      </c>
      <c r="D522" t="s">
        <v>67</v>
      </c>
      <c r="F522" t="s">
        <v>42</v>
      </c>
      <c r="G522" t="s">
        <v>393</v>
      </c>
      <c r="H522" s="1">
        <v>73.56</v>
      </c>
      <c r="I522" s="6">
        <v>160</v>
      </c>
      <c r="J522" s="6">
        <v>160</v>
      </c>
      <c r="K522" s="6">
        <v>77.973600000000005</v>
      </c>
      <c r="L522">
        <v>8</v>
      </c>
      <c r="M522">
        <v>50</v>
      </c>
      <c r="N522" t="b">
        <v>0</v>
      </c>
      <c r="O522" t="b">
        <v>0</v>
      </c>
      <c r="P522" t="b">
        <v>1</v>
      </c>
    </row>
    <row r="523" spans="1:16" x14ac:dyDescent="0.45">
      <c r="A523" t="s">
        <v>782</v>
      </c>
      <c r="B523" s="2">
        <v>6000108</v>
      </c>
      <c r="D523" t="s">
        <v>34</v>
      </c>
      <c r="F523" t="s">
        <v>171</v>
      </c>
      <c r="G523" t="s">
        <v>65</v>
      </c>
      <c r="H523" s="1">
        <v>380</v>
      </c>
      <c r="I523" s="6">
        <v>648</v>
      </c>
      <c r="J523" s="6">
        <v>648</v>
      </c>
      <c r="K523" s="6">
        <v>402.8</v>
      </c>
      <c r="L523">
        <v>8</v>
      </c>
      <c r="M523">
        <v>0</v>
      </c>
      <c r="N523" t="b">
        <v>0</v>
      </c>
      <c r="O523" t="b">
        <v>0</v>
      </c>
      <c r="P523" t="b">
        <v>1</v>
      </c>
    </row>
    <row r="524" spans="1:16" x14ac:dyDescent="0.45">
      <c r="A524" t="s">
        <v>783</v>
      </c>
      <c r="B524" s="2">
        <v>6000109</v>
      </c>
      <c r="D524" t="s">
        <v>34</v>
      </c>
      <c r="F524" t="s">
        <v>42</v>
      </c>
      <c r="G524" t="s">
        <v>252</v>
      </c>
      <c r="H524" s="1">
        <v>55</v>
      </c>
      <c r="I524" s="6">
        <v>100</v>
      </c>
      <c r="J524" s="6">
        <v>100</v>
      </c>
      <c r="K524" s="6">
        <v>58.3</v>
      </c>
      <c r="L524">
        <v>8</v>
      </c>
      <c r="M524">
        <v>0</v>
      </c>
      <c r="N524" t="b">
        <v>0</v>
      </c>
      <c r="O524" t="b">
        <v>0</v>
      </c>
      <c r="P524" t="b">
        <v>1</v>
      </c>
    </row>
    <row r="525" spans="1:16" x14ac:dyDescent="0.45">
      <c r="A525" t="s">
        <v>784</v>
      </c>
      <c r="B525" s="2">
        <v>6000202</v>
      </c>
      <c r="D525" t="s">
        <v>34</v>
      </c>
      <c r="F525" t="s">
        <v>42</v>
      </c>
      <c r="G525" t="s">
        <v>65</v>
      </c>
      <c r="H525" s="1">
        <v>350</v>
      </c>
      <c r="I525" s="6">
        <v>91.8</v>
      </c>
      <c r="J525" s="6">
        <v>91.8</v>
      </c>
      <c r="K525" s="6">
        <v>371</v>
      </c>
      <c r="L525">
        <v>8</v>
      </c>
      <c r="M525">
        <v>0</v>
      </c>
      <c r="N525" t="b">
        <v>0</v>
      </c>
      <c r="O525" t="b">
        <v>0</v>
      </c>
      <c r="P525" t="b">
        <v>1</v>
      </c>
    </row>
    <row r="526" spans="1:16" x14ac:dyDescent="0.45">
      <c r="A526" t="s">
        <v>785</v>
      </c>
      <c r="B526" s="2">
        <v>6000110</v>
      </c>
      <c r="D526" t="s">
        <v>34</v>
      </c>
      <c r="F526" t="s">
        <v>42</v>
      </c>
      <c r="G526" t="s">
        <v>65</v>
      </c>
      <c r="H526" s="1">
        <v>45</v>
      </c>
      <c r="I526" s="6">
        <v>75.599999999999994</v>
      </c>
      <c r="J526" s="6">
        <v>75.599999999999994</v>
      </c>
      <c r="K526" s="6">
        <v>47.7</v>
      </c>
      <c r="L526">
        <v>8</v>
      </c>
      <c r="M526">
        <v>0</v>
      </c>
      <c r="N526" t="b">
        <v>0</v>
      </c>
      <c r="O526" t="b">
        <v>0</v>
      </c>
      <c r="P526" t="b">
        <v>1</v>
      </c>
    </row>
    <row r="527" spans="1:16" x14ac:dyDescent="0.45">
      <c r="A527" t="s">
        <v>786</v>
      </c>
      <c r="B527" s="2">
        <v>6000178</v>
      </c>
      <c r="D527" t="s">
        <v>34</v>
      </c>
      <c r="F527" t="s">
        <v>51</v>
      </c>
      <c r="G527" t="s">
        <v>787</v>
      </c>
      <c r="H527" s="1">
        <v>6.44</v>
      </c>
      <c r="I527" s="6">
        <v>13</v>
      </c>
      <c r="J527" s="6">
        <v>13</v>
      </c>
      <c r="K527" s="6">
        <v>6.8263999999999996</v>
      </c>
      <c r="L527">
        <v>8</v>
      </c>
      <c r="M527">
        <v>0</v>
      </c>
      <c r="N527" t="b">
        <v>0</v>
      </c>
      <c r="O527" t="b">
        <v>0</v>
      </c>
      <c r="P527" t="b">
        <v>1</v>
      </c>
    </row>
    <row r="528" spans="1:16" x14ac:dyDescent="0.45">
      <c r="A528" t="s">
        <v>788</v>
      </c>
      <c r="B528" s="2">
        <v>6000111</v>
      </c>
      <c r="D528" t="s">
        <v>34</v>
      </c>
      <c r="F528" t="s">
        <v>38</v>
      </c>
      <c r="G528" t="s">
        <v>789</v>
      </c>
      <c r="H528" s="1">
        <v>4.2408400000000004</v>
      </c>
      <c r="I528" s="6">
        <v>6.4814809999999996</v>
      </c>
      <c r="J528" s="6">
        <v>5.86</v>
      </c>
      <c r="K528" s="6">
        <v>4.4952904</v>
      </c>
      <c r="L528">
        <v>8</v>
      </c>
      <c r="M528">
        <v>0</v>
      </c>
      <c r="N528" t="b">
        <v>0</v>
      </c>
      <c r="O528" t="b">
        <v>0</v>
      </c>
      <c r="P528" t="b">
        <v>1</v>
      </c>
    </row>
    <row r="529" spans="1:16" x14ac:dyDescent="0.45">
      <c r="A529" t="s">
        <v>790</v>
      </c>
      <c r="B529" s="2">
        <v>1073224</v>
      </c>
      <c r="D529" t="s">
        <v>41</v>
      </c>
      <c r="F529" t="s">
        <v>42</v>
      </c>
      <c r="G529" t="s">
        <v>47</v>
      </c>
      <c r="H529" s="1">
        <v>75.935519999999997</v>
      </c>
      <c r="I529" s="6">
        <v>150</v>
      </c>
      <c r="J529" s="6">
        <v>150</v>
      </c>
      <c r="K529" s="6">
        <v>80.491651200000007</v>
      </c>
      <c r="L529">
        <v>0</v>
      </c>
      <c r="M529">
        <v>0</v>
      </c>
      <c r="N529" t="b">
        <v>0</v>
      </c>
      <c r="O529" t="b">
        <v>0</v>
      </c>
      <c r="P529" t="b">
        <v>1</v>
      </c>
    </row>
    <row r="530" spans="1:16" x14ac:dyDescent="0.45">
      <c r="A530" t="s">
        <v>791</v>
      </c>
      <c r="B530" s="2">
        <v>3000434</v>
      </c>
      <c r="D530" t="s">
        <v>67</v>
      </c>
      <c r="F530" t="s">
        <v>38</v>
      </c>
      <c r="G530" t="s">
        <v>671</v>
      </c>
      <c r="H530" s="1">
        <v>16.739999999999998</v>
      </c>
      <c r="I530" s="6">
        <v>32.5</v>
      </c>
      <c r="J530" s="6">
        <v>32.5</v>
      </c>
      <c r="K530" s="6">
        <v>17.744399999999999</v>
      </c>
      <c r="L530">
        <v>8</v>
      </c>
      <c r="M530">
        <v>120</v>
      </c>
      <c r="N530" t="b">
        <v>0</v>
      </c>
      <c r="O530" t="b">
        <v>0</v>
      </c>
      <c r="P530" t="b">
        <v>1</v>
      </c>
    </row>
    <row r="531" spans="1:16" x14ac:dyDescent="0.45">
      <c r="A531" t="s">
        <v>792</v>
      </c>
      <c r="B531" s="2">
        <v>6000112</v>
      </c>
      <c r="D531" t="s">
        <v>34</v>
      </c>
      <c r="F531" t="s">
        <v>42</v>
      </c>
      <c r="G531" t="s">
        <v>65</v>
      </c>
      <c r="H531" s="1">
        <v>200</v>
      </c>
      <c r="I531" s="6">
        <v>300</v>
      </c>
      <c r="J531" s="6">
        <v>300</v>
      </c>
      <c r="K531" s="6">
        <v>212</v>
      </c>
      <c r="L531">
        <v>8</v>
      </c>
      <c r="M531">
        <v>0</v>
      </c>
      <c r="N531" t="b">
        <v>0</v>
      </c>
      <c r="O531" t="b">
        <v>0</v>
      </c>
      <c r="P531" t="b">
        <v>1</v>
      </c>
    </row>
    <row r="532" spans="1:16" x14ac:dyDescent="0.45">
      <c r="A532" t="s">
        <v>793</v>
      </c>
      <c r="B532" s="2">
        <v>1006871</v>
      </c>
      <c r="D532" t="s">
        <v>41</v>
      </c>
      <c r="E532" s="5" t="s">
        <v>1077</v>
      </c>
      <c r="F532" t="s">
        <v>38</v>
      </c>
      <c r="G532" t="s">
        <v>794</v>
      </c>
      <c r="H532" s="1">
        <v>22.7</v>
      </c>
      <c r="I532" s="6">
        <v>46.296300000000002</v>
      </c>
      <c r="J532" s="6">
        <v>43.4</v>
      </c>
      <c r="K532" s="6">
        <v>24.062000000000001</v>
      </c>
      <c r="L532">
        <v>8</v>
      </c>
      <c r="M532">
        <v>48</v>
      </c>
      <c r="N532" t="b">
        <v>0</v>
      </c>
      <c r="O532" t="b">
        <v>0</v>
      </c>
      <c r="P532" t="b">
        <v>1</v>
      </c>
    </row>
    <row r="533" spans="1:16" x14ac:dyDescent="0.45">
      <c r="A533" t="s">
        <v>795</v>
      </c>
      <c r="B533" s="2">
        <v>600</v>
      </c>
      <c r="D533" t="s">
        <v>41</v>
      </c>
      <c r="E533" s="5" t="s">
        <v>1077</v>
      </c>
      <c r="F533" t="s">
        <v>38</v>
      </c>
      <c r="G533" t="s">
        <v>86</v>
      </c>
      <c r="H533" s="1">
        <v>12.96</v>
      </c>
      <c r="I533" s="6">
        <v>27</v>
      </c>
      <c r="J533" s="6">
        <v>27</v>
      </c>
      <c r="K533" s="6">
        <v>13.7376</v>
      </c>
      <c r="L533">
        <v>8</v>
      </c>
      <c r="M533">
        <v>0</v>
      </c>
      <c r="N533" t="b">
        <v>0</v>
      </c>
      <c r="O533" t="b">
        <v>0</v>
      </c>
      <c r="P533" t="b">
        <v>1</v>
      </c>
    </row>
    <row r="534" spans="1:16" x14ac:dyDescent="0.45">
      <c r="A534" t="s">
        <v>796</v>
      </c>
      <c r="B534" s="2">
        <v>1022605</v>
      </c>
      <c r="D534" t="s">
        <v>41</v>
      </c>
      <c r="E534" s="5" t="s">
        <v>1077</v>
      </c>
      <c r="F534" t="s">
        <v>38</v>
      </c>
      <c r="G534" t="s">
        <v>355</v>
      </c>
      <c r="H534" s="1">
        <v>12.43247</v>
      </c>
      <c r="I534" s="6">
        <v>27.77778</v>
      </c>
      <c r="J534" s="6">
        <v>25</v>
      </c>
      <c r="K534" s="6">
        <v>13.178418199999999</v>
      </c>
      <c r="L534">
        <v>8</v>
      </c>
      <c r="M534">
        <v>100</v>
      </c>
      <c r="N534" t="b">
        <v>0</v>
      </c>
      <c r="O534" t="b">
        <v>0</v>
      </c>
      <c r="P534" t="b">
        <v>1</v>
      </c>
    </row>
    <row r="535" spans="1:16" x14ac:dyDescent="0.45">
      <c r="A535" t="s">
        <v>797</v>
      </c>
      <c r="B535" s="2">
        <v>1007146</v>
      </c>
      <c r="D535" t="s">
        <v>41</v>
      </c>
      <c r="E535" s="5" t="s">
        <v>1077</v>
      </c>
      <c r="F535" t="s">
        <v>38</v>
      </c>
      <c r="G535" t="s">
        <v>355</v>
      </c>
      <c r="H535" s="1">
        <v>12.45157</v>
      </c>
      <c r="I535" s="6">
        <v>27.77778</v>
      </c>
      <c r="J535" s="6">
        <v>25</v>
      </c>
      <c r="K535" s="6">
        <v>13.1986642</v>
      </c>
      <c r="L535">
        <v>8</v>
      </c>
      <c r="M535">
        <v>100</v>
      </c>
      <c r="N535" t="b">
        <v>0</v>
      </c>
      <c r="O535" t="b">
        <v>0</v>
      </c>
      <c r="P535" t="b">
        <v>1</v>
      </c>
    </row>
    <row r="536" spans="1:16" x14ac:dyDescent="0.45">
      <c r="A536" t="s">
        <v>798</v>
      </c>
      <c r="B536" s="2">
        <v>1101108</v>
      </c>
      <c r="D536" t="s">
        <v>41</v>
      </c>
      <c r="F536" t="s">
        <v>35</v>
      </c>
      <c r="G536" t="s">
        <v>449</v>
      </c>
      <c r="H536" s="1">
        <v>48.303249999999998</v>
      </c>
      <c r="I536" s="6">
        <v>95</v>
      </c>
      <c r="J536" s="6">
        <v>95</v>
      </c>
      <c r="K536" s="6">
        <v>51.201445</v>
      </c>
      <c r="L536">
        <v>8</v>
      </c>
      <c r="M536">
        <v>30</v>
      </c>
      <c r="N536" t="b">
        <v>0</v>
      </c>
      <c r="O536" t="b">
        <v>0</v>
      </c>
      <c r="P536" t="b">
        <v>1</v>
      </c>
    </row>
    <row r="537" spans="1:16" x14ac:dyDescent="0.45">
      <c r="A537" t="s">
        <v>799</v>
      </c>
      <c r="B537" s="2">
        <v>6000203</v>
      </c>
      <c r="D537" t="s">
        <v>34</v>
      </c>
      <c r="F537" t="s">
        <v>159</v>
      </c>
      <c r="G537" t="s">
        <v>72</v>
      </c>
      <c r="H537" s="1">
        <v>27.777920000000002</v>
      </c>
      <c r="I537" s="6">
        <v>32.4</v>
      </c>
      <c r="J537" s="6">
        <v>32.4</v>
      </c>
      <c r="K537" s="6">
        <v>29.444595199999998</v>
      </c>
      <c r="L537">
        <v>8</v>
      </c>
      <c r="M537">
        <v>0</v>
      </c>
      <c r="N537" t="b">
        <v>0</v>
      </c>
      <c r="O537" t="b">
        <v>0</v>
      </c>
      <c r="P537" t="b">
        <v>1</v>
      </c>
    </row>
    <row r="538" spans="1:16" x14ac:dyDescent="0.45">
      <c r="A538" t="s">
        <v>800</v>
      </c>
      <c r="B538" s="2">
        <v>1082175</v>
      </c>
      <c r="D538" t="s">
        <v>41</v>
      </c>
      <c r="F538" t="s">
        <v>159</v>
      </c>
      <c r="G538" t="s">
        <v>530</v>
      </c>
      <c r="H538" s="1">
        <v>26.34038</v>
      </c>
      <c r="I538" s="6">
        <v>48.75</v>
      </c>
      <c r="J538" s="6">
        <v>48.75</v>
      </c>
      <c r="K538" s="6">
        <v>27.920802800000001</v>
      </c>
      <c r="L538">
        <v>8</v>
      </c>
      <c r="M538">
        <v>60</v>
      </c>
      <c r="N538" t="b">
        <v>0</v>
      </c>
      <c r="O538" t="b">
        <v>0</v>
      </c>
      <c r="P538" t="b">
        <v>1</v>
      </c>
    </row>
    <row r="539" spans="1:16" x14ac:dyDescent="0.45">
      <c r="A539" t="s">
        <v>801</v>
      </c>
      <c r="B539" s="2">
        <v>1009246</v>
      </c>
      <c r="D539" t="s">
        <v>41</v>
      </c>
      <c r="F539" t="s">
        <v>42</v>
      </c>
      <c r="G539" t="s">
        <v>47</v>
      </c>
      <c r="H539" s="1">
        <v>42.93</v>
      </c>
      <c r="I539" s="6">
        <v>75</v>
      </c>
      <c r="J539" s="6">
        <v>75</v>
      </c>
      <c r="K539" s="6">
        <v>45.505800000000001</v>
      </c>
      <c r="L539">
        <v>8</v>
      </c>
      <c r="M539">
        <v>0</v>
      </c>
      <c r="N539" t="b">
        <v>0</v>
      </c>
      <c r="O539" t="b">
        <v>0</v>
      </c>
      <c r="P539" t="b">
        <v>1</v>
      </c>
    </row>
    <row r="540" spans="1:16" x14ac:dyDescent="0.45">
      <c r="A540" t="s">
        <v>802</v>
      </c>
      <c r="B540" s="2">
        <v>1021976</v>
      </c>
      <c r="D540" t="s">
        <v>41</v>
      </c>
      <c r="F540" t="s">
        <v>42</v>
      </c>
      <c r="G540" t="s">
        <v>47</v>
      </c>
      <c r="H540" s="1">
        <v>37.19</v>
      </c>
      <c r="I540" s="6">
        <v>101.8519</v>
      </c>
      <c r="J540" s="6">
        <v>92.59</v>
      </c>
      <c r="K540" s="6">
        <v>39.421399999999998</v>
      </c>
      <c r="L540">
        <v>8</v>
      </c>
      <c r="M540">
        <v>50</v>
      </c>
      <c r="N540" t="b">
        <v>0</v>
      </c>
      <c r="O540" t="b">
        <v>0</v>
      </c>
      <c r="P540" t="b">
        <v>1</v>
      </c>
    </row>
    <row r="541" spans="1:16" x14ac:dyDescent="0.45">
      <c r="A541" t="s">
        <v>803</v>
      </c>
      <c r="B541" s="2">
        <v>3003330</v>
      </c>
      <c r="D541" t="s">
        <v>416</v>
      </c>
      <c r="E541" s="5" t="s">
        <v>1074</v>
      </c>
      <c r="F541" t="s">
        <v>159</v>
      </c>
      <c r="G541" t="s">
        <v>317</v>
      </c>
      <c r="H541" s="1">
        <v>45.97</v>
      </c>
      <c r="I541" s="6">
        <v>92.592590000000001</v>
      </c>
      <c r="J541" s="6">
        <v>87.962000000000003</v>
      </c>
      <c r="K541" s="6">
        <v>48.728200000000001</v>
      </c>
      <c r="L541">
        <v>8</v>
      </c>
      <c r="M541">
        <v>0</v>
      </c>
      <c r="N541" t="b">
        <v>0</v>
      </c>
      <c r="O541" t="b">
        <v>0</v>
      </c>
      <c r="P541" t="b">
        <v>1</v>
      </c>
    </row>
    <row r="542" spans="1:16" x14ac:dyDescent="0.45">
      <c r="A542" t="s">
        <v>804</v>
      </c>
      <c r="B542" s="2">
        <v>6000113</v>
      </c>
      <c r="D542" t="s">
        <v>34</v>
      </c>
      <c r="F542" t="s">
        <v>42</v>
      </c>
      <c r="G542" t="s">
        <v>65</v>
      </c>
      <c r="H542" s="1">
        <v>63.75</v>
      </c>
      <c r="I542" s="6">
        <v>97.2</v>
      </c>
      <c r="J542" s="6">
        <v>97.2</v>
      </c>
      <c r="K542" s="6">
        <v>67.575000000000003</v>
      </c>
      <c r="L542">
        <v>8</v>
      </c>
      <c r="M542">
        <v>0</v>
      </c>
      <c r="N542" t="b">
        <v>0</v>
      </c>
      <c r="O542" t="b">
        <v>0</v>
      </c>
      <c r="P542" t="b">
        <v>1</v>
      </c>
    </row>
    <row r="543" spans="1:16" x14ac:dyDescent="0.45">
      <c r="A543" t="s">
        <v>805</v>
      </c>
      <c r="B543" s="2">
        <v>3000046</v>
      </c>
      <c r="D543" t="s">
        <v>41</v>
      </c>
      <c r="F543" t="s">
        <v>35</v>
      </c>
      <c r="G543" t="s">
        <v>449</v>
      </c>
      <c r="H543" s="1">
        <v>41.02478</v>
      </c>
      <c r="I543" s="6">
        <v>97.5</v>
      </c>
      <c r="J543" s="6">
        <v>97.5</v>
      </c>
      <c r="K543" s="6">
        <v>43.486266800000003</v>
      </c>
      <c r="L543">
        <v>8</v>
      </c>
      <c r="M543">
        <v>30</v>
      </c>
      <c r="N543" t="b">
        <v>0</v>
      </c>
      <c r="O543" t="b">
        <v>0</v>
      </c>
      <c r="P543" t="b">
        <v>1</v>
      </c>
    </row>
    <row r="544" spans="1:16" x14ac:dyDescent="0.45">
      <c r="A544" t="s">
        <v>806</v>
      </c>
      <c r="B544" s="2">
        <v>3003349</v>
      </c>
      <c r="D544" t="s">
        <v>41</v>
      </c>
      <c r="F544" t="s">
        <v>42</v>
      </c>
      <c r="G544" t="s">
        <v>47</v>
      </c>
      <c r="H544" s="1">
        <v>168.94</v>
      </c>
      <c r="I544" s="6">
        <v>540</v>
      </c>
      <c r="J544" s="6">
        <v>540</v>
      </c>
      <c r="K544" s="6">
        <v>179.07640000000001</v>
      </c>
      <c r="L544">
        <v>8</v>
      </c>
      <c r="M544">
        <v>0</v>
      </c>
      <c r="N544" t="b">
        <v>0</v>
      </c>
      <c r="O544" t="b">
        <v>0</v>
      </c>
      <c r="P544" t="b">
        <v>1</v>
      </c>
    </row>
    <row r="545" spans="1:16" x14ac:dyDescent="0.45">
      <c r="A545" t="s">
        <v>807</v>
      </c>
      <c r="B545" s="2">
        <v>3003351</v>
      </c>
      <c r="D545" t="s">
        <v>41</v>
      </c>
      <c r="F545" t="s">
        <v>51</v>
      </c>
      <c r="G545" t="s">
        <v>86</v>
      </c>
      <c r="H545" s="1">
        <v>168.94</v>
      </c>
      <c r="I545" s="6">
        <v>333.33330000000001</v>
      </c>
      <c r="J545" s="6">
        <v>324.07</v>
      </c>
      <c r="K545" s="6">
        <v>179.07640000000001</v>
      </c>
      <c r="L545">
        <v>8</v>
      </c>
      <c r="M545">
        <v>0</v>
      </c>
      <c r="N545" t="b">
        <v>0</v>
      </c>
      <c r="O545" t="b">
        <v>0</v>
      </c>
      <c r="P545" t="b">
        <v>1</v>
      </c>
    </row>
    <row r="546" spans="1:16" x14ac:dyDescent="0.45">
      <c r="A546" t="s">
        <v>808</v>
      </c>
      <c r="B546" s="2">
        <v>6000114</v>
      </c>
      <c r="D546" t="s">
        <v>34</v>
      </c>
      <c r="F546" t="s">
        <v>35</v>
      </c>
      <c r="G546" t="s">
        <v>219</v>
      </c>
      <c r="H546" s="1">
        <v>75</v>
      </c>
      <c r="I546" s="6">
        <v>108.33</v>
      </c>
      <c r="J546" s="6">
        <v>108.33</v>
      </c>
      <c r="K546" s="6">
        <v>79.5</v>
      </c>
      <c r="L546">
        <v>8</v>
      </c>
      <c r="M546">
        <v>0</v>
      </c>
      <c r="N546" t="b">
        <v>0</v>
      </c>
      <c r="O546" t="b">
        <v>0</v>
      </c>
      <c r="P546" t="b">
        <v>1</v>
      </c>
    </row>
    <row r="547" spans="1:16" x14ac:dyDescent="0.45">
      <c r="A547" t="s">
        <v>809</v>
      </c>
      <c r="B547" s="2">
        <v>3000701</v>
      </c>
      <c r="D547" t="s">
        <v>34</v>
      </c>
      <c r="F547" t="s">
        <v>35</v>
      </c>
      <c r="G547" t="s">
        <v>72</v>
      </c>
      <c r="H547" s="1">
        <v>15.817920000000001</v>
      </c>
      <c r="I547" s="6">
        <v>19.579999999999998</v>
      </c>
      <c r="J547" s="6">
        <v>19.579999999999998</v>
      </c>
      <c r="K547" s="6">
        <v>16.7669952</v>
      </c>
      <c r="L547">
        <v>8</v>
      </c>
      <c r="M547">
        <v>0</v>
      </c>
      <c r="N547" t="b">
        <v>0</v>
      </c>
      <c r="O547" t="b">
        <v>0</v>
      </c>
      <c r="P547" t="b">
        <v>1</v>
      </c>
    </row>
    <row r="548" spans="1:16" x14ac:dyDescent="0.45">
      <c r="A548" t="s">
        <v>810</v>
      </c>
      <c r="B548" s="2">
        <v>188</v>
      </c>
      <c r="D548" t="s">
        <v>41</v>
      </c>
      <c r="F548" t="s">
        <v>35</v>
      </c>
      <c r="G548" t="s">
        <v>811</v>
      </c>
      <c r="H548" s="1">
        <v>45.3</v>
      </c>
      <c r="I548" s="6">
        <v>54</v>
      </c>
      <c r="J548" s="6">
        <v>54</v>
      </c>
      <c r="K548" s="6">
        <v>48.018000000000001</v>
      </c>
      <c r="L548">
        <v>8</v>
      </c>
      <c r="M548">
        <v>0</v>
      </c>
      <c r="N548" t="b">
        <v>0</v>
      </c>
      <c r="O548" t="b">
        <v>0</v>
      </c>
      <c r="P548" t="b">
        <v>1</v>
      </c>
    </row>
    <row r="549" spans="1:16" x14ac:dyDescent="0.45">
      <c r="A549" t="s">
        <v>812</v>
      </c>
      <c r="B549" s="2">
        <v>1101161</v>
      </c>
      <c r="D549" t="s">
        <v>41</v>
      </c>
      <c r="E549" s="5" t="s">
        <v>1077</v>
      </c>
      <c r="F549" t="s">
        <v>35</v>
      </c>
      <c r="G549" t="s">
        <v>219</v>
      </c>
      <c r="H549" s="1">
        <v>50.267650000000003</v>
      </c>
      <c r="I549" s="6">
        <v>111.111111111</v>
      </c>
      <c r="J549" s="6">
        <v>104.17</v>
      </c>
      <c r="K549" s="6">
        <v>53.283709000000002</v>
      </c>
      <c r="L549">
        <v>8</v>
      </c>
      <c r="M549">
        <v>120</v>
      </c>
      <c r="N549" t="b">
        <v>0</v>
      </c>
      <c r="O549" t="b">
        <v>0</v>
      </c>
      <c r="P549" t="b">
        <v>1</v>
      </c>
    </row>
    <row r="550" spans="1:16" x14ac:dyDescent="0.45">
      <c r="A550" t="s">
        <v>813</v>
      </c>
      <c r="B550" s="2">
        <v>3000667</v>
      </c>
      <c r="D550" t="s">
        <v>41</v>
      </c>
      <c r="F550" t="s">
        <v>42</v>
      </c>
      <c r="G550" t="s">
        <v>47</v>
      </c>
      <c r="H550" s="1">
        <v>63.242440000000002</v>
      </c>
      <c r="I550" s="6">
        <v>120</v>
      </c>
      <c r="J550" s="6">
        <v>120</v>
      </c>
      <c r="K550" s="6">
        <v>67.036986400000004</v>
      </c>
      <c r="L550">
        <v>0</v>
      </c>
      <c r="M550">
        <v>0</v>
      </c>
      <c r="N550" t="b">
        <v>0</v>
      </c>
      <c r="O550" t="b">
        <v>0</v>
      </c>
      <c r="P550" t="b">
        <v>1</v>
      </c>
    </row>
    <row r="551" spans="1:16" x14ac:dyDescent="0.45">
      <c r="A551" t="s">
        <v>814</v>
      </c>
      <c r="B551" s="2">
        <v>1007592</v>
      </c>
      <c r="D551" t="s">
        <v>41</v>
      </c>
      <c r="F551" t="s">
        <v>42</v>
      </c>
      <c r="G551" t="s">
        <v>47</v>
      </c>
      <c r="H551" s="1">
        <v>190</v>
      </c>
      <c r="I551" s="6">
        <v>291.60000000000002</v>
      </c>
      <c r="J551" s="6">
        <v>291.60000000000002</v>
      </c>
      <c r="K551" s="6">
        <v>201.4</v>
      </c>
      <c r="L551">
        <v>8</v>
      </c>
      <c r="M551">
        <v>0</v>
      </c>
      <c r="N551" t="b">
        <v>0</v>
      </c>
      <c r="O551" t="b">
        <v>0</v>
      </c>
      <c r="P551" t="b">
        <v>1</v>
      </c>
    </row>
    <row r="552" spans="1:16" x14ac:dyDescent="0.45">
      <c r="A552" t="s">
        <v>815</v>
      </c>
      <c r="B552" s="2">
        <v>1006681</v>
      </c>
      <c r="D552" t="s">
        <v>41</v>
      </c>
      <c r="F552" t="s">
        <v>35</v>
      </c>
      <c r="G552" t="s">
        <v>449</v>
      </c>
      <c r="H552" s="1">
        <v>129.85402999999999</v>
      </c>
      <c r="I552" s="6">
        <v>287.03699999999998</v>
      </c>
      <c r="J552" s="6">
        <v>277.77999999999997</v>
      </c>
      <c r="K552" s="6">
        <v>137.64527179999999</v>
      </c>
      <c r="L552">
        <v>8</v>
      </c>
      <c r="M552">
        <v>30</v>
      </c>
      <c r="N552" t="b">
        <v>0</v>
      </c>
      <c r="O552" t="b">
        <v>0</v>
      </c>
      <c r="P552" t="b">
        <v>1</v>
      </c>
    </row>
    <row r="553" spans="1:16" x14ac:dyDescent="0.45">
      <c r="A553" t="s">
        <v>816</v>
      </c>
      <c r="B553" s="2">
        <v>1009557</v>
      </c>
      <c r="D553" t="s">
        <v>41</v>
      </c>
      <c r="F553" t="s">
        <v>35</v>
      </c>
      <c r="G553" t="s">
        <v>449</v>
      </c>
      <c r="H553" s="1">
        <v>186.02803</v>
      </c>
      <c r="I553" s="6">
        <v>379.62959999999998</v>
      </c>
      <c r="J553" s="6">
        <v>370.37</v>
      </c>
      <c r="K553" s="6">
        <v>197.1897118</v>
      </c>
      <c r="L553">
        <v>8</v>
      </c>
      <c r="M553">
        <v>30</v>
      </c>
      <c r="N553" t="b">
        <v>0</v>
      </c>
      <c r="O553" t="b">
        <v>0</v>
      </c>
      <c r="P553" t="b">
        <v>1</v>
      </c>
    </row>
    <row r="554" spans="1:16" x14ac:dyDescent="0.45">
      <c r="A554" t="s">
        <v>817</v>
      </c>
      <c r="B554" s="2">
        <v>3000049</v>
      </c>
      <c r="D554" t="s">
        <v>41</v>
      </c>
      <c r="F554" t="s">
        <v>35</v>
      </c>
      <c r="G554" t="s">
        <v>449</v>
      </c>
      <c r="H554" s="1">
        <v>139.06181000000001</v>
      </c>
      <c r="I554" s="6">
        <v>287.03699999999998</v>
      </c>
      <c r="J554" s="6">
        <v>277.78879999999998</v>
      </c>
      <c r="K554" s="6">
        <v>147.40551859999999</v>
      </c>
      <c r="L554">
        <v>8</v>
      </c>
      <c r="M554">
        <v>30</v>
      </c>
      <c r="N554" t="b">
        <v>0</v>
      </c>
      <c r="O554" t="b">
        <v>0</v>
      </c>
      <c r="P554" t="b">
        <v>1</v>
      </c>
    </row>
    <row r="555" spans="1:16" x14ac:dyDescent="0.45">
      <c r="A555" t="s">
        <v>818</v>
      </c>
      <c r="B555" s="2">
        <v>1014545</v>
      </c>
      <c r="D555" t="s">
        <v>41</v>
      </c>
      <c r="F555" t="s">
        <v>35</v>
      </c>
      <c r="G555" t="s">
        <v>449</v>
      </c>
      <c r="H555" s="1">
        <v>184.97541000000001</v>
      </c>
      <c r="I555" s="6">
        <v>351.8519</v>
      </c>
      <c r="J555" s="6">
        <v>347.22219999999999</v>
      </c>
      <c r="K555" s="6">
        <v>196.0739346</v>
      </c>
      <c r="L555">
        <v>8</v>
      </c>
      <c r="M555">
        <v>30</v>
      </c>
      <c r="N555" t="b">
        <v>0</v>
      </c>
      <c r="O555" t="b">
        <v>0</v>
      </c>
      <c r="P555" t="b">
        <v>1</v>
      </c>
    </row>
    <row r="556" spans="1:16" x14ac:dyDescent="0.45">
      <c r="A556" t="s">
        <v>819</v>
      </c>
      <c r="B556" s="2">
        <v>6000115</v>
      </c>
      <c r="D556" t="s">
        <v>34</v>
      </c>
      <c r="F556" t="s">
        <v>42</v>
      </c>
      <c r="G556" t="s">
        <v>65</v>
      </c>
      <c r="H556" s="1">
        <v>55</v>
      </c>
      <c r="I556" s="6">
        <v>86.4</v>
      </c>
      <c r="J556" s="6">
        <v>86.4</v>
      </c>
      <c r="K556" s="6">
        <v>58.3</v>
      </c>
      <c r="L556">
        <v>8</v>
      </c>
      <c r="M556">
        <v>0</v>
      </c>
      <c r="N556" t="b">
        <v>0</v>
      </c>
      <c r="O556" t="b">
        <v>0</v>
      </c>
      <c r="P556" t="b">
        <v>1</v>
      </c>
    </row>
    <row r="557" spans="1:16" x14ac:dyDescent="0.45">
      <c r="A557" t="s">
        <v>820</v>
      </c>
      <c r="B557" s="2">
        <v>1008020</v>
      </c>
      <c r="D557" t="s">
        <v>41</v>
      </c>
      <c r="F557" t="s">
        <v>42</v>
      </c>
      <c r="G557" t="s">
        <v>222</v>
      </c>
      <c r="H557" s="1">
        <v>1005.08</v>
      </c>
      <c r="I557" s="6">
        <v>1944</v>
      </c>
      <c r="J557" s="6">
        <v>1944</v>
      </c>
      <c r="K557" s="6">
        <v>1065.3848</v>
      </c>
      <c r="L557">
        <v>8</v>
      </c>
      <c r="M557">
        <v>0</v>
      </c>
      <c r="N557" t="b">
        <v>0</v>
      </c>
      <c r="O557" t="b">
        <v>0</v>
      </c>
      <c r="P557" t="b">
        <v>1</v>
      </c>
    </row>
    <row r="558" spans="1:16" x14ac:dyDescent="0.45">
      <c r="A558" t="s">
        <v>821</v>
      </c>
      <c r="B558" s="2">
        <v>3000201</v>
      </c>
      <c r="C558" t="s">
        <v>33</v>
      </c>
      <c r="D558" t="s">
        <v>574</v>
      </c>
      <c r="E558" s="5" t="s">
        <v>33</v>
      </c>
      <c r="F558" t="s">
        <v>273</v>
      </c>
      <c r="G558" t="s">
        <v>822</v>
      </c>
      <c r="H558" s="1">
        <v>114.97</v>
      </c>
      <c r="I558" s="6">
        <v>175</v>
      </c>
      <c r="J558" s="6">
        <v>172</v>
      </c>
      <c r="K558" s="6">
        <v>173</v>
      </c>
      <c r="L558">
        <v>8</v>
      </c>
      <c r="M558">
        <v>10</v>
      </c>
      <c r="N558" t="b">
        <v>1</v>
      </c>
      <c r="O558" t="b">
        <v>0</v>
      </c>
      <c r="P558" t="b">
        <v>1</v>
      </c>
    </row>
    <row r="559" spans="1:16" x14ac:dyDescent="0.45">
      <c r="A559" t="s">
        <v>823</v>
      </c>
      <c r="B559" s="2">
        <v>1008673</v>
      </c>
      <c r="D559" t="s">
        <v>41</v>
      </c>
      <c r="F559" t="s">
        <v>35</v>
      </c>
      <c r="G559" t="s">
        <v>777</v>
      </c>
      <c r="H559" s="1">
        <v>82.5</v>
      </c>
      <c r="I559" s="6">
        <v>129.6</v>
      </c>
      <c r="J559" s="6">
        <v>129.6</v>
      </c>
      <c r="K559" s="6">
        <v>87.45</v>
      </c>
      <c r="L559">
        <v>8</v>
      </c>
      <c r="M559">
        <v>0</v>
      </c>
      <c r="N559" t="b">
        <v>0</v>
      </c>
      <c r="O559" t="b">
        <v>0</v>
      </c>
      <c r="P559" t="b">
        <v>1</v>
      </c>
    </row>
    <row r="560" spans="1:16" x14ac:dyDescent="0.45">
      <c r="A560" t="s">
        <v>824</v>
      </c>
      <c r="B560" s="2">
        <v>6000167</v>
      </c>
      <c r="D560" t="s">
        <v>34</v>
      </c>
      <c r="F560" t="s">
        <v>35</v>
      </c>
      <c r="G560" t="s">
        <v>825</v>
      </c>
      <c r="H560" s="1">
        <v>19.29</v>
      </c>
      <c r="I560" s="6">
        <v>23.33</v>
      </c>
      <c r="J560" s="6">
        <v>23.33</v>
      </c>
      <c r="K560" s="6">
        <v>20.447399999999998</v>
      </c>
      <c r="L560">
        <v>8</v>
      </c>
      <c r="M560">
        <v>0</v>
      </c>
      <c r="N560" t="b">
        <v>0</v>
      </c>
      <c r="O560" t="b">
        <v>0</v>
      </c>
      <c r="P560" t="b">
        <v>1</v>
      </c>
    </row>
    <row r="561" spans="1:16" x14ac:dyDescent="0.45">
      <c r="A561" t="s">
        <v>826</v>
      </c>
      <c r="B561" s="2">
        <v>1085553</v>
      </c>
      <c r="D561" t="s">
        <v>41</v>
      </c>
      <c r="F561" t="s">
        <v>42</v>
      </c>
      <c r="G561" t="s">
        <v>47</v>
      </c>
      <c r="H561" s="1">
        <v>353.41</v>
      </c>
      <c r="I561" s="6">
        <v>573</v>
      </c>
      <c r="J561" s="6">
        <v>573</v>
      </c>
      <c r="K561" s="6">
        <v>374.6146</v>
      </c>
      <c r="L561">
        <v>8</v>
      </c>
      <c r="M561">
        <v>0</v>
      </c>
      <c r="N561" t="b">
        <v>0</v>
      </c>
      <c r="O561" t="b">
        <v>0</v>
      </c>
      <c r="P561" t="b">
        <v>1</v>
      </c>
    </row>
    <row r="562" spans="1:16" x14ac:dyDescent="0.45">
      <c r="A562" t="s">
        <v>827</v>
      </c>
      <c r="B562" s="2">
        <v>1015627</v>
      </c>
      <c r="D562" t="s">
        <v>41</v>
      </c>
      <c r="F562" t="s">
        <v>42</v>
      </c>
      <c r="G562" t="s">
        <v>133</v>
      </c>
      <c r="H562" s="1">
        <v>27.114999999999998</v>
      </c>
      <c r="I562" s="6">
        <v>55.555556000000003</v>
      </c>
      <c r="J562" s="6">
        <v>50.93</v>
      </c>
      <c r="K562" s="6">
        <v>28.741900000000001</v>
      </c>
      <c r="L562">
        <v>8</v>
      </c>
      <c r="M562">
        <v>0</v>
      </c>
      <c r="N562" t="b">
        <v>0</v>
      </c>
      <c r="O562" t="b">
        <v>0</v>
      </c>
      <c r="P562" t="b">
        <v>1</v>
      </c>
    </row>
    <row r="563" spans="1:16" x14ac:dyDescent="0.45">
      <c r="A563" t="s">
        <v>828</v>
      </c>
      <c r="B563" s="2">
        <v>6000208</v>
      </c>
      <c r="D563" t="s">
        <v>34</v>
      </c>
      <c r="F563" t="s">
        <v>51</v>
      </c>
      <c r="G563" t="s">
        <v>829</v>
      </c>
      <c r="H563" s="1">
        <v>320</v>
      </c>
      <c r="I563" s="6">
        <v>500</v>
      </c>
      <c r="J563" s="6">
        <v>500</v>
      </c>
      <c r="K563" s="6">
        <v>339.2</v>
      </c>
      <c r="L563">
        <v>8</v>
      </c>
      <c r="M563">
        <v>0</v>
      </c>
      <c r="N563" t="b">
        <v>0</v>
      </c>
      <c r="O563" t="b">
        <v>0</v>
      </c>
      <c r="P563" t="b">
        <v>1</v>
      </c>
    </row>
    <row r="564" spans="1:16" x14ac:dyDescent="0.45">
      <c r="A564" t="s">
        <v>830</v>
      </c>
      <c r="B564" s="2">
        <v>6000116</v>
      </c>
      <c r="D564" t="s">
        <v>34</v>
      </c>
      <c r="F564" t="s">
        <v>42</v>
      </c>
      <c r="G564" t="s">
        <v>65</v>
      </c>
      <c r="H564" s="1">
        <v>15</v>
      </c>
      <c r="I564" s="6">
        <v>48.6</v>
      </c>
      <c r="J564" s="6">
        <v>48.6</v>
      </c>
      <c r="K564" s="6">
        <v>15.9</v>
      </c>
      <c r="L564">
        <v>8</v>
      </c>
      <c r="M564">
        <v>0</v>
      </c>
      <c r="N564" t="b">
        <v>0</v>
      </c>
      <c r="O564" t="b">
        <v>0</v>
      </c>
      <c r="P564" t="b">
        <v>1</v>
      </c>
    </row>
    <row r="565" spans="1:16" x14ac:dyDescent="0.45">
      <c r="A565" t="s">
        <v>831</v>
      </c>
      <c r="B565" s="2">
        <v>1008702</v>
      </c>
      <c r="D565" t="s">
        <v>67</v>
      </c>
      <c r="F565" t="s">
        <v>42</v>
      </c>
      <c r="G565" t="s">
        <v>68</v>
      </c>
      <c r="H565" s="1">
        <v>23.481560000000002</v>
      </c>
      <c r="I565" s="6">
        <v>59.26</v>
      </c>
      <c r="J565" s="6">
        <v>55.56</v>
      </c>
      <c r="K565" s="6">
        <v>24.890453600000001</v>
      </c>
      <c r="L565">
        <v>8</v>
      </c>
      <c r="M565">
        <v>50</v>
      </c>
      <c r="N565" t="b">
        <v>0</v>
      </c>
      <c r="O565" t="b">
        <v>0</v>
      </c>
      <c r="P565" t="b">
        <v>1</v>
      </c>
    </row>
    <row r="566" spans="1:16" x14ac:dyDescent="0.45">
      <c r="A566" t="s">
        <v>832</v>
      </c>
      <c r="B566" s="2">
        <v>3000108</v>
      </c>
      <c r="D566" t="s">
        <v>357</v>
      </c>
      <c r="F566" t="s">
        <v>42</v>
      </c>
      <c r="G566" t="s">
        <v>47</v>
      </c>
      <c r="H566" s="1">
        <v>102.63</v>
      </c>
      <c r="I566" s="6">
        <v>170</v>
      </c>
      <c r="J566" s="6">
        <v>170</v>
      </c>
      <c r="K566" s="6">
        <v>108.7878</v>
      </c>
      <c r="L566">
        <v>8</v>
      </c>
      <c r="M566">
        <v>50</v>
      </c>
      <c r="N566" t="b">
        <v>0</v>
      </c>
      <c r="O566" t="b">
        <v>0</v>
      </c>
      <c r="P566" t="b">
        <v>1</v>
      </c>
    </row>
    <row r="567" spans="1:16" x14ac:dyDescent="0.45">
      <c r="A567" t="s">
        <v>833</v>
      </c>
      <c r="B567" s="2">
        <v>330</v>
      </c>
      <c r="D567" t="s">
        <v>357</v>
      </c>
      <c r="F567" t="s">
        <v>42</v>
      </c>
      <c r="G567" t="s">
        <v>60</v>
      </c>
      <c r="H567" s="1">
        <v>103.34</v>
      </c>
      <c r="I567" s="6">
        <v>195</v>
      </c>
      <c r="J567" s="6">
        <v>195</v>
      </c>
      <c r="K567" s="6">
        <v>109.54040000000001</v>
      </c>
      <c r="L567">
        <v>8</v>
      </c>
      <c r="M567">
        <v>0</v>
      </c>
      <c r="N567" t="b">
        <v>0</v>
      </c>
      <c r="O567" t="b">
        <v>0</v>
      </c>
      <c r="P567" t="b">
        <v>1</v>
      </c>
    </row>
    <row r="568" spans="1:16" x14ac:dyDescent="0.45">
      <c r="A568" t="s">
        <v>834</v>
      </c>
      <c r="B568" s="2">
        <v>332</v>
      </c>
      <c r="D568" t="s">
        <v>357</v>
      </c>
      <c r="F568" t="s">
        <v>42</v>
      </c>
      <c r="G568" t="s">
        <v>60</v>
      </c>
      <c r="H568" s="1">
        <v>290</v>
      </c>
      <c r="I568" s="6">
        <v>380</v>
      </c>
      <c r="J568" s="6">
        <v>380</v>
      </c>
      <c r="K568" s="6">
        <v>307.39999999999998</v>
      </c>
      <c r="L568">
        <v>8</v>
      </c>
      <c r="M568">
        <v>0</v>
      </c>
      <c r="N568" t="b">
        <v>0</v>
      </c>
      <c r="O568" t="b">
        <v>0</v>
      </c>
      <c r="P568" t="b">
        <v>1</v>
      </c>
    </row>
    <row r="569" spans="1:16" x14ac:dyDescent="0.45">
      <c r="A569" t="s">
        <v>835</v>
      </c>
      <c r="B569" s="2">
        <v>6000117</v>
      </c>
      <c r="D569" t="s">
        <v>34</v>
      </c>
      <c r="F569" t="s">
        <v>42</v>
      </c>
      <c r="G569" t="s">
        <v>224</v>
      </c>
      <c r="H569" s="1">
        <v>205</v>
      </c>
      <c r="I569" s="6">
        <v>324</v>
      </c>
      <c r="J569" s="6">
        <v>324</v>
      </c>
      <c r="K569" s="6">
        <v>217.3</v>
      </c>
      <c r="L569">
        <v>8</v>
      </c>
      <c r="M569">
        <v>0</v>
      </c>
      <c r="N569" t="b">
        <v>0</v>
      </c>
      <c r="O569" t="b">
        <v>0</v>
      </c>
      <c r="P569" t="b">
        <v>1</v>
      </c>
    </row>
    <row r="570" spans="1:16" x14ac:dyDescent="0.45">
      <c r="A570" t="s">
        <v>836</v>
      </c>
      <c r="B570" s="2">
        <v>6000218</v>
      </c>
      <c r="C570" t="s">
        <v>33</v>
      </c>
      <c r="D570" t="s">
        <v>34</v>
      </c>
      <c r="E570" s="5" t="s">
        <v>33</v>
      </c>
      <c r="F570" t="s">
        <v>38</v>
      </c>
      <c r="G570" t="s">
        <v>47</v>
      </c>
      <c r="H570" s="1">
        <v>172.8</v>
      </c>
      <c r="I570" s="6">
        <v>240.7407</v>
      </c>
      <c r="J570" s="6">
        <v>231.48</v>
      </c>
      <c r="K570" s="6">
        <v>250</v>
      </c>
      <c r="L570">
        <v>8</v>
      </c>
      <c r="M570">
        <v>0</v>
      </c>
      <c r="N570" t="b">
        <v>0</v>
      </c>
      <c r="O570" t="b">
        <v>0</v>
      </c>
      <c r="P570" t="b">
        <v>1</v>
      </c>
    </row>
    <row r="571" spans="1:16" x14ac:dyDescent="0.45">
      <c r="A571" t="s">
        <v>837</v>
      </c>
      <c r="B571" s="2">
        <v>3003080</v>
      </c>
      <c r="D571" t="s">
        <v>41</v>
      </c>
      <c r="F571" t="s">
        <v>38</v>
      </c>
      <c r="H571" s="1">
        <v>137.31</v>
      </c>
      <c r="I571" s="6">
        <v>227</v>
      </c>
      <c r="J571" s="6">
        <v>227</v>
      </c>
      <c r="K571" s="6">
        <v>145.54859999999999</v>
      </c>
      <c r="L571">
        <v>8</v>
      </c>
      <c r="M571">
        <v>0</v>
      </c>
      <c r="N571" t="b">
        <v>0</v>
      </c>
      <c r="O571" t="b">
        <v>0</v>
      </c>
      <c r="P571" t="b">
        <v>1</v>
      </c>
    </row>
    <row r="572" spans="1:16" x14ac:dyDescent="0.45">
      <c r="A572" t="s">
        <v>838</v>
      </c>
      <c r="B572" s="2">
        <v>3003387</v>
      </c>
      <c r="D572" t="s">
        <v>41</v>
      </c>
      <c r="F572" t="s">
        <v>38</v>
      </c>
      <c r="G572" t="s">
        <v>839</v>
      </c>
      <c r="H572" s="1">
        <v>26.91</v>
      </c>
      <c r="I572" s="6">
        <v>100</v>
      </c>
      <c r="J572" s="6">
        <v>100</v>
      </c>
      <c r="K572" s="6">
        <v>28.5246</v>
      </c>
      <c r="L572">
        <v>8</v>
      </c>
      <c r="M572">
        <v>0</v>
      </c>
      <c r="N572" t="b">
        <v>0</v>
      </c>
      <c r="O572" t="b">
        <v>0</v>
      </c>
      <c r="P572" t="b">
        <v>1</v>
      </c>
    </row>
    <row r="573" spans="1:16" x14ac:dyDescent="0.45">
      <c r="A573" t="s">
        <v>840</v>
      </c>
      <c r="B573" s="2">
        <v>397</v>
      </c>
      <c r="D573" t="s">
        <v>67</v>
      </c>
      <c r="F573" t="s">
        <v>42</v>
      </c>
      <c r="G573" t="s">
        <v>841</v>
      </c>
      <c r="H573" s="1">
        <v>24.87</v>
      </c>
      <c r="I573" s="6">
        <v>40</v>
      </c>
      <c r="J573" s="6">
        <v>40</v>
      </c>
      <c r="K573" s="6">
        <v>26.362200000000001</v>
      </c>
      <c r="L573">
        <v>8</v>
      </c>
      <c r="M573">
        <v>40</v>
      </c>
      <c r="N573" t="b">
        <v>0</v>
      </c>
      <c r="O573" t="b">
        <v>0</v>
      </c>
      <c r="P573" t="b">
        <v>1</v>
      </c>
    </row>
    <row r="574" spans="1:16" x14ac:dyDescent="0.45">
      <c r="A574" t="s">
        <v>842</v>
      </c>
      <c r="B574" s="2">
        <v>1123</v>
      </c>
      <c r="D574" t="s">
        <v>574</v>
      </c>
      <c r="F574" t="s">
        <v>38</v>
      </c>
      <c r="G574" t="s">
        <v>47</v>
      </c>
      <c r="H574" s="1">
        <v>122.16</v>
      </c>
      <c r="I574" s="6">
        <v>420</v>
      </c>
      <c r="J574" s="6">
        <v>420</v>
      </c>
      <c r="K574" s="6">
        <v>129.4896</v>
      </c>
      <c r="L574">
        <v>8</v>
      </c>
      <c r="M574">
        <v>0</v>
      </c>
      <c r="N574" t="b">
        <v>0</v>
      </c>
      <c r="O574" t="b">
        <v>0</v>
      </c>
      <c r="P574" t="b">
        <v>1</v>
      </c>
    </row>
    <row r="575" spans="1:16" x14ac:dyDescent="0.45">
      <c r="A575" t="s">
        <v>843</v>
      </c>
      <c r="B575" s="2">
        <v>6000118</v>
      </c>
      <c r="D575" t="s">
        <v>34</v>
      </c>
      <c r="F575" t="s">
        <v>42</v>
      </c>
      <c r="G575" t="s">
        <v>65</v>
      </c>
      <c r="H575" s="1">
        <v>14</v>
      </c>
      <c r="I575" s="6">
        <v>64.8</v>
      </c>
      <c r="J575" s="6">
        <v>64.8</v>
      </c>
      <c r="K575" s="6">
        <v>14.84</v>
      </c>
      <c r="L575">
        <v>8</v>
      </c>
      <c r="M575">
        <v>0</v>
      </c>
      <c r="N575" t="b">
        <v>0</v>
      </c>
      <c r="O575" t="b">
        <v>0</v>
      </c>
      <c r="P575" t="b">
        <v>1</v>
      </c>
    </row>
    <row r="576" spans="1:16" x14ac:dyDescent="0.45">
      <c r="A576" t="s">
        <v>844</v>
      </c>
      <c r="B576" s="2">
        <v>3003136</v>
      </c>
      <c r="D576" t="s">
        <v>845</v>
      </c>
      <c r="F576" t="s">
        <v>585</v>
      </c>
      <c r="G576" t="s">
        <v>393</v>
      </c>
      <c r="H576" s="1">
        <v>69.41</v>
      </c>
      <c r="I576" s="6">
        <v>194.4444</v>
      </c>
      <c r="J576" s="6">
        <v>185.19</v>
      </c>
      <c r="K576" s="6">
        <v>73.574600000000004</v>
      </c>
      <c r="L576">
        <v>8</v>
      </c>
      <c r="M576">
        <v>0</v>
      </c>
      <c r="N576" t="b">
        <v>0</v>
      </c>
      <c r="O576" t="b">
        <v>0</v>
      </c>
      <c r="P576" t="b">
        <v>1</v>
      </c>
    </row>
    <row r="577" spans="1:16" x14ac:dyDescent="0.45">
      <c r="A577" t="s">
        <v>846</v>
      </c>
      <c r="B577" s="2">
        <v>3003337</v>
      </c>
      <c r="D577" t="s">
        <v>845</v>
      </c>
      <c r="F577" t="s">
        <v>585</v>
      </c>
      <c r="G577" t="s">
        <v>393</v>
      </c>
      <c r="H577" s="1">
        <v>299.5</v>
      </c>
      <c r="I577" s="6">
        <v>475.2</v>
      </c>
      <c r="J577" s="6">
        <v>475.2</v>
      </c>
      <c r="K577" s="6">
        <v>317.47000000000003</v>
      </c>
      <c r="L577">
        <v>8</v>
      </c>
      <c r="M577">
        <v>0</v>
      </c>
      <c r="N577" t="b">
        <v>0</v>
      </c>
      <c r="O577" t="b">
        <v>0</v>
      </c>
      <c r="P577" t="b">
        <v>1</v>
      </c>
    </row>
    <row r="578" spans="1:16" x14ac:dyDescent="0.45">
      <c r="A578" t="s">
        <v>847</v>
      </c>
      <c r="B578" s="2">
        <v>3003132</v>
      </c>
      <c r="D578" t="s">
        <v>845</v>
      </c>
      <c r="F578" t="s">
        <v>585</v>
      </c>
      <c r="G578" t="s">
        <v>393</v>
      </c>
      <c r="H578" s="1">
        <v>131.76</v>
      </c>
      <c r="I578" s="6">
        <v>237.6</v>
      </c>
      <c r="J578" s="6">
        <v>237.6</v>
      </c>
      <c r="K578" s="6">
        <v>139.66560000000001</v>
      </c>
      <c r="L578">
        <v>8</v>
      </c>
      <c r="M578">
        <v>0</v>
      </c>
      <c r="N578" t="b">
        <v>0</v>
      </c>
      <c r="O578" t="b">
        <v>0</v>
      </c>
      <c r="P578" t="b">
        <v>1</v>
      </c>
    </row>
    <row r="579" spans="1:16" x14ac:dyDescent="0.45">
      <c r="A579" t="s">
        <v>848</v>
      </c>
      <c r="B579" s="2">
        <v>3003138</v>
      </c>
      <c r="D579" t="s">
        <v>845</v>
      </c>
      <c r="F579" t="s">
        <v>585</v>
      </c>
      <c r="G579" t="s">
        <v>393</v>
      </c>
      <c r="H579" s="1">
        <v>119.87</v>
      </c>
      <c r="I579" s="6">
        <v>237.6</v>
      </c>
      <c r="J579" s="6">
        <v>237.6</v>
      </c>
      <c r="K579" s="6">
        <v>127.0622</v>
      </c>
      <c r="L579">
        <v>8</v>
      </c>
      <c r="M579">
        <v>0</v>
      </c>
      <c r="N579" t="b">
        <v>0</v>
      </c>
      <c r="O579" t="b">
        <v>0</v>
      </c>
      <c r="P579" t="b">
        <v>1</v>
      </c>
    </row>
    <row r="580" spans="1:16" x14ac:dyDescent="0.45">
      <c r="A580" t="s">
        <v>849</v>
      </c>
      <c r="B580" s="2">
        <v>3003134</v>
      </c>
      <c r="D580" t="s">
        <v>845</v>
      </c>
      <c r="F580" t="s">
        <v>585</v>
      </c>
      <c r="G580" t="s">
        <v>393</v>
      </c>
      <c r="H580" s="1">
        <v>112.07</v>
      </c>
      <c r="I580" s="6">
        <v>212.96299999999999</v>
      </c>
      <c r="J580" s="6">
        <v>209.88800000000001</v>
      </c>
      <c r="K580" s="6">
        <v>118.7942</v>
      </c>
      <c r="L580">
        <v>8</v>
      </c>
      <c r="M580">
        <v>30</v>
      </c>
      <c r="N580" t="b">
        <v>0</v>
      </c>
      <c r="O580" t="b">
        <v>0</v>
      </c>
      <c r="P580" t="b">
        <v>1</v>
      </c>
    </row>
    <row r="581" spans="1:16" x14ac:dyDescent="0.45">
      <c r="A581" t="s">
        <v>850</v>
      </c>
      <c r="B581" s="2" t="s">
        <v>851</v>
      </c>
      <c r="F581" t="s">
        <v>58</v>
      </c>
      <c r="H581" s="1">
        <v>0</v>
      </c>
      <c r="I581" s="6">
        <v>300</v>
      </c>
      <c r="J581" s="6">
        <v>300</v>
      </c>
      <c r="K581" s="6">
        <v>300</v>
      </c>
      <c r="L581">
        <v>0</v>
      </c>
      <c r="M581">
        <v>0</v>
      </c>
      <c r="N581" t="b">
        <v>0</v>
      </c>
      <c r="O581" t="b">
        <v>0</v>
      </c>
      <c r="P581" t="b">
        <v>1</v>
      </c>
    </row>
    <row r="582" spans="1:16" x14ac:dyDescent="0.45">
      <c r="A582" t="s">
        <v>852</v>
      </c>
      <c r="B582" s="2">
        <v>3003137</v>
      </c>
      <c r="D582" t="s">
        <v>845</v>
      </c>
      <c r="F582" t="s">
        <v>585</v>
      </c>
      <c r="G582" t="s">
        <v>393</v>
      </c>
      <c r="H582" s="1">
        <v>139.99</v>
      </c>
      <c r="I582" s="6">
        <v>248.4</v>
      </c>
      <c r="J582" s="6">
        <v>248.4</v>
      </c>
      <c r="K582" s="6">
        <v>148.38939999999999</v>
      </c>
      <c r="L582">
        <v>8</v>
      </c>
      <c r="M582">
        <v>0</v>
      </c>
      <c r="N582" t="b">
        <v>0</v>
      </c>
      <c r="O582" t="b">
        <v>0</v>
      </c>
      <c r="P582" t="b">
        <v>1</v>
      </c>
    </row>
    <row r="583" spans="1:16" x14ac:dyDescent="0.45">
      <c r="A583" t="s">
        <v>853</v>
      </c>
      <c r="B583" s="2">
        <v>3003338</v>
      </c>
      <c r="D583" t="s">
        <v>845</v>
      </c>
      <c r="F583" t="s">
        <v>585</v>
      </c>
      <c r="G583" t="s">
        <v>393</v>
      </c>
      <c r="H583" s="1">
        <v>163.03</v>
      </c>
      <c r="I583" s="6">
        <v>305.55560000000003</v>
      </c>
      <c r="J583" s="6">
        <v>300.93</v>
      </c>
      <c r="K583" s="6">
        <v>172.81180000000001</v>
      </c>
      <c r="L583">
        <v>8</v>
      </c>
      <c r="M583">
        <v>0</v>
      </c>
      <c r="N583" t="b">
        <v>0</v>
      </c>
      <c r="O583" t="b">
        <v>0</v>
      </c>
      <c r="P583" t="b">
        <v>1</v>
      </c>
    </row>
    <row r="584" spans="1:16" x14ac:dyDescent="0.45">
      <c r="A584" t="s">
        <v>854</v>
      </c>
      <c r="B584" s="2">
        <v>3003131</v>
      </c>
      <c r="D584" t="s">
        <v>845</v>
      </c>
      <c r="F584" t="s">
        <v>585</v>
      </c>
      <c r="G584" t="s">
        <v>393</v>
      </c>
      <c r="H584" s="1">
        <v>103.12</v>
      </c>
      <c r="I584" s="6">
        <v>203.7037</v>
      </c>
      <c r="J584" s="6">
        <v>200.62</v>
      </c>
      <c r="K584" s="6">
        <v>109.30719999999999</v>
      </c>
      <c r="L584">
        <v>8</v>
      </c>
      <c r="M584">
        <v>0</v>
      </c>
      <c r="N584" t="b">
        <v>0</v>
      </c>
      <c r="O584" t="b">
        <v>0</v>
      </c>
      <c r="P584" t="b">
        <v>1</v>
      </c>
    </row>
    <row r="585" spans="1:16" x14ac:dyDescent="0.45">
      <c r="A585" t="s">
        <v>855</v>
      </c>
      <c r="B585" s="2">
        <v>3003508</v>
      </c>
      <c r="D585" t="s">
        <v>41</v>
      </c>
      <c r="F585" t="s">
        <v>38</v>
      </c>
      <c r="G585" t="s">
        <v>47</v>
      </c>
      <c r="H585" s="1">
        <v>25.39</v>
      </c>
      <c r="I585" s="6">
        <v>60</v>
      </c>
      <c r="J585" s="6">
        <v>60</v>
      </c>
      <c r="K585" s="6">
        <v>26.913399999999999</v>
      </c>
      <c r="L585">
        <v>8</v>
      </c>
      <c r="M585">
        <v>0</v>
      </c>
      <c r="N585" t="b">
        <v>0</v>
      </c>
      <c r="O585" t="b">
        <v>0</v>
      </c>
      <c r="P585" t="b">
        <v>1</v>
      </c>
    </row>
    <row r="586" spans="1:16" x14ac:dyDescent="0.45">
      <c r="A586" t="s">
        <v>856</v>
      </c>
      <c r="B586" s="2">
        <v>6000119</v>
      </c>
      <c r="D586" t="s">
        <v>34</v>
      </c>
      <c r="F586" t="s">
        <v>42</v>
      </c>
      <c r="G586" t="s">
        <v>65</v>
      </c>
      <c r="H586" s="1">
        <v>60</v>
      </c>
      <c r="I586" s="6">
        <v>70.2</v>
      </c>
      <c r="J586" s="6">
        <v>70.2</v>
      </c>
      <c r="K586" s="6">
        <v>63.6</v>
      </c>
      <c r="L586">
        <v>8</v>
      </c>
      <c r="M586">
        <v>0</v>
      </c>
      <c r="N586" t="b">
        <v>0</v>
      </c>
      <c r="O586" t="b">
        <v>0</v>
      </c>
      <c r="P586" t="b">
        <v>1</v>
      </c>
    </row>
    <row r="587" spans="1:16" x14ac:dyDescent="0.45">
      <c r="A587" t="s">
        <v>857</v>
      </c>
      <c r="B587" s="2">
        <v>1021114</v>
      </c>
      <c r="D587" t="s">
        <v>41</v>
      </c>
      <c r="F587" t="s">
        <v>38</v>
      </c>
      <c r="G587" t="s">
        <v>72</v>
      </c>
      <c r="H587" s="1">
        <v>64.66</v>
      </c>
      <c r="I587" s="6">
        <v>97.2</v>
      </c>
      <c r="J587" s="6">
        <v>97.2</v>
      </c>
      <c r="K587" s="6">
        <v>68.539599999999993</v>
      </c>
      <c r="L587">
        <v>8</v>
      </c>
      <c r="M587">
        <v>0</v>
      </c>
      <c r="N587" t="b">
        <v>0</v>
      </c>
      <c r="O587" t="b">
        <v>0</v>
      </c>
      <c r="P587" t="b">
        <v>1</v>
      </c>
    </row>
    <row r="588" spans="1:16" x14ac:dyDescent="0.45">
      <c r="A588" t="s">
        <v>858</v>
      </c>
      <c r="B588" s="2">
        <v>6000120</v>
      </c>
      <c r="D588" t="s">
        <v>34</v>
      </c>
      <c r="F588" t="s">
        <v>51</v>
      </c>
      <c r="G588" t="s">
        <v>65</v>
      </c>
      <c r="H588" s="1">
        <v>46.8</v>
      </c>
      <c r="I588" s="6">
        <v>75</v>
      </c>
      <c r="J588" s="6">
        <v>75</v>
      </c>
      <c r="K588" s="6">
        <v>49.607999999999997</v>
      </c>
      <c r="L588">
        <v>0</v>
      </c>
      <c r="M588">
        <v>0</v>
      </c>
      <c r="N588" t="b">
        <v>0</v>
      </c>
      <c r="O588" t="b">
        <v>0</v>
      </c>
      <c r="P588" t="b">
        <v>1</v>
      </c>
    </row>
    <row r="589" spans="1:16" x14ac:dyDescent="0.45">
      <c r="A589" t="s">
        <v>859</v>
      </c>
      <c r="B589" s="2">
        <v>1101095</v>
      </c>
      <c r="D589" t="s">
        <v>41</v>
      </c>
      <c r="F589" t="s">
        <v>159</v>
      </c>
      <c r="G589" t="s">
        <v>860</v>
      </c>
      <c r="H589" s="1">
        <v>457.39</v>
      </c>
      <c r="I589" s="6">
        <v>694.44439999999997</v>
      </c>
      <c r="J589" s="6">
        <v>694.44439999999997</v>
      </c>
      <c r="K589" s="6">
        <v>484.83339999999998</v>
      </c>
      <c r="L589">
        <v>8</v>
      </c>
      <c r="M589">
        <v>40</v>
      </c>
      <c r="N589" t="b">
        <v>0</v>
      </c>
      <c r="O589" t="b">
        <v>0</v>
      </c>
      <c r="P589" t="b">
        <v>1</v>
      </c>
    </row>
    <row r="590" spans="1:16" x14ac:dyDescent="0.45">
      <c r="A590" t="s">
        <v>861</v>
      </c>
      <c r="B590" s="2">
        <v>6000194</v>
      </c>
      <c r="D590" t="s">
        <v>34</v>
      </c>
      <c r="F590" t="s">
        <v>38</v>
      </c>
      <c r="G590" t="s">
        <v>47</v>
      </c>
      <c r="H590" s="1">
        <v>111.11</v>
      </c>
      <c r="I590" s="6">
        <v>172.8</v>
      </c>
      <c r="J590" s="6">
        <v>172.8</v>
      </c>
      <c r="K590" s="6">
        <v>117.7766</v>
      </c>
      <c r="L590">
        <v>8</v>
      </c>
      <c r="M590">
        <v>0</v>
      </c>
      <c r="N590" t="b">
        <v>0</v>
      </c>
      <c r="O590" t="b">
        <v>0</v>
      </c>
      <c r="P590" t="b">
        <v>1</v>
      </c>
    </row>
    <row r="591" spans="1:16" x14ac:dyDescent="0.45">
      <c r="A591" t="s">
        <v>862</v>
      </c>
      <c r="B591" s="2">
        <v>217</v>
      </c>
      <c r="D591" t="s">
        <v>41</v>
      </c>
      <c r="F591" t="s">
        <v>42</v>
      </c>
      <c r="G591" t="s">
        <v>72</v>
      </c>
      <c r="H591" s="1">
        <v>17.18</v>
      </c>
      <c r="I591" s="6">
        <v>24</v>
      </c>
      <c r="J591" s="6">
        <v>24</v>
      </c>
      <c r="K591" s="6">
        <v>18.210799999999999</v>
      </c>
      <c r="L591">
        <v>8</v>
      </c>
      <c r="M591">
        <v>0</v>
      </c>
      <c r="N591" t="b">
        <v>0</v>
      </c>
      <c r="O591" t="b">
        <v>0</v>
      </c>
      <c r="P591" t="b">
        <v>1</v>
      </c>
    </row>
    <row r="592" spans="1:16" x14ac:dyDescent="0.45">
      <c r="A592" t="s">
        <v>863</v>
      </c>
      <c r="B592" s="2">
        <v>6000121</v>
      </c>
      <c r="D592" t="s">
        <v>34</v>
      </c>
      <c r="F592" t="s">
        <v>42</v>
      </c>
      <c r="G592" t="s">
        <v>65</v>
      </c>
      <c r="H592" s="1">
        <v>680</v>
      </c>
      <c r="I592" s="6">
        <v>800</v>
      </c>
      <c r="J592" s="6">
        <v>800</v>
      </c>
      <c r="K592" s="6">
        <v>720.8</v>
      </c>
      <c r="L592">
        <v>0</v>
      </c>
      <c r="M592">
        <v>0</v>
      </c>
      <c r="N592" t="b">
        <v>0</v>
      </c>
      <c r="O592" t="b">
        <v>0</v>
      </c>
      <c r="P592" t="b">
        <v>1</v>
      </c>
    </row>
    <row r="593" spans="1:16" x14ac:dyDescent="0.45">
      <c r="A593" t="s">
        <v>864</v>
      </c>
      <c r="B593" s="2">
        <v>3000853</v>
      </c>
      <c r="D593" t="s">
        <v>41</v>
      </c>
      <c r="F593" t="s">
        <v>35</v>
      </c>
      <c r="G593" t="s">
        <v>86</v>
      </c>
      <c r="H593" s="1">
        <v>7.1196599999999997</v>
      </c>
      <c r="I593" s="6">
        <v>8.75</v>
      </c>
      <c r="J593" s="6">
        <v>8.75</v>
      </c>
      <c r="K593" s="6">
        <v>7.5468396000000002</v>
      </c>
      <c r="L593">
        <v>8</v>
      </c>
      <c r="M593">
        <v>0</v>
      </c>
      <c r="N593" t="b">
        <v>0</v>
      </c>
      <c r="O593" t="b">
        <v>0</v>
      </c>
      <c r="P593" t="b">
        <v>1</v>
      </c>
    </row>
    <row r="594" spans="1:16" x14ac:dyDescent="0.45">
      <c r="A594" t="s">
        <v>865</v>
      </c>
      <c r="B594" s="2">
        <v>3003391</v>
      </c>
      <c r="D594" t="s">
        <v>41</v>
      </c>
      <c r="F594" t="s">
        <v>42</v>
      </c>
      <c r="G594" t="s">
        <v>43</v>
      </c>
      <c r="H594" s="1">
        <v>17.18</v>
      </c>
      <c r="I594" s="6">
        <v>54.67</v>
      </c>
      <c r="J594" s="6">
        <v>54.67</v>
      </c>
      <c r="K594" s="6">
        <v>18.210799999999999</v>
      </c>
      <c r="L594">
        <v>8</v>
      </c>
      <c r="M594">
        <v>0</v>
      </c>
      <c r="N594" t="b">
        <v>0</v>
      </c>
      <c r="O594" t="b">
        <v>0</v>
      </c>
      <c r="P594" t="b">
        <v>1</v>
      </c>
    </row>
    <row r="595" spans="1:16" x14ac:dyDescent="0.45">
      <c r="A595" t="s">
        <v>866</v>
      </c>
      <c r="B595" s="2">
        <v>1101074</v>
      </c>
      <c r="D595" t="s">
        <v>41</v>
      </c>
      <c r="E595" s="5" t="s">
        <v>1077</v>
      </c>
      <c r="F595" t="s">
        <v>35</v>
      </c>
      <c r="G595" t="s">
        <v>219</v>
      </c>
      <c r="H595" s="1">
        <v>52.803840000000001</v>
      </c>
      <c r="I595" s="6">
        <v>101.8519</v>
      </c>
      <c r="J595" s="6">
        <v>95.68</v>
      </c>
      <c r="K595" s="6">
        <v>55.9720704</v>
      </c>
      <c r="L595">
        <v>8</v>
      </c>
      <c r="M595">
        <v>60</v>
      </c>
      <c r="N595" t="b">
        <v>0</v>
      </c>
      <c r="O595" t="b">
        <v>0</v>
      </c>
      <c r="P595" t="b">
        <v>1</v>
      </c>
    </row>
    <row r="596" spans="1:16" x14ac:dyDescent="0.45">
      <c r="A596" t="s">
        <v>867</v>
      </c>
      <c r="B596" s="2">
        <v>6000195</v>
      </c>
      <c r="D596" t="s">
        <v>34</v>
      </c>
      <c r="F596" t="s">
        <v>42</v>
      </c>
      <c r="G596" t="s">
        <v>45</v>
      </c>
      <c r="H596" s="1">
        <v>23.15</v>
      </c>
      <c r="I596" s="6">
        <v>43.2</v>
      </c>
      <c r="J596" s="6">
        <v>43.2</v>
      </c>
      <c r="K596" s="6">
        <v>24.539000000000001</v>
      </c>
      <c r="L596">
        <v>8</v>
      </c>
      <c r="M596">
        <v>0</v>
      </c>
      <c r="N596" t="b">
        <v>0</v>
      </c>
      <c r="O596" t="b">
        <v>0</v>
      </c>
      <c r="P596" t="b">
        <v>1</v>
      </c>
    </row>
    <row r="597" spans="1:16" x14ac:dyDescent="0.45">
      <c r="A597" t="s">
        <v>868</v>
      </c>
      <c r="B597" s="2">
        <v>6000122</v>
      </c>
      <c r="D597" t="s">
        <v>34</v>
      </c>
      <c r="F597" t="s">
        <v>42</v>
      </c>
      <c r="G597" t="s">
        <v>869</v>
      </c>
      <c r="H597" s="1">
        <v>5</v>
      </c>
      <c r="I597" s="6">
        <v>6</v>
      </c>
      <c r="J597" s="6">
        <v>6</v>
      </c>
      <c r="K597" s="6">
        <v>5.3</v>
      </c>
      <c r="L597">
        <v>0</v>
      </c>
      <c r="M597">
        <v>0</v>
      </c>
      <c r="N597" t="b">
        <v>0</v>
      </c>
      <c r="O597" t="b">
        <v>0</v>
      </c>
      <c r="P597" t="b">
        <v>1</v>
      </c>
    </row>
    <row r="598" spans="1:16" x14ac:dyDescent="0.45">
      <c r="A598" t="s">
        <v>870</v>
      </c>
      <c r="B598" s="2">
        <v>1009985</v>
      </c>
      <c r="D598" t="s">
        <v>41</v>
      </c>
      <c r="E598" s="5" t="s">
        <v>1077</v>
      </c>
      <c r="F598" t="s">
        <v>42</v>
      </c>
      <c r="G598" t="s">
        <v>393</v>
      </c>
      <c r="H598" s="1">
        <v>40.770479999999999</v>
      </c>
      <c r="I598" s="6">
        <v>92.592590000000001</v>
      </c>
      <c r="J598" s="6">
        <v>87.96</v>
      </c>
      <c r="K598" s="6">
        <v>43.216708799999999</v>
      </c>
      <c r="L598">
        <v>8</v>
      </c>
      <c r="M598">
        <v>60</v>
      </c>
      <c r="N598" t="b">
        <v>0</v>
      </c>
      <c r="O598" t="b">
        <v>0</v>
      </c>
      <c r="P598" t="b">
        <v>1</v>
      </c>
    </row>
    <row r="599" spans="1:16" x14ac:dyDescent="0.45">
      <c r="A599" t="s">
        <v>871</v>
      </c>
      <c r="B599" s="2">
        <v>6000123</v>
      </c>
      <c r="D599" t="s">
        <v>34</v>
      </c>
      <c r="F599" t="s">
        <v>42</v>
      </c>
      <c r="G599" t="s">
        <v>872</v>
      </c>
      <c r="H599" s="1">
        <v>21.296299999999999</v>
      </c>
      <c r="I599" s="6">
        <v>35.75</v>
      </c>
      <c r="J599" s="6">
        <v>35.75</v>
      </c>
      <c r="K599" s="6">
        <v>22.574078</v>
      </c>
      <c r="L599">
        <v>8</v>
      </c>
      <c r="M599">
        <v>0</v>
      </c>
      <c r="N599" t="b">
        <v>0</v>
      </c>
      <c r="O599" t="b">
        <v>0</v>
      </c>
      <c r="P599" t="b">
        <v>1</v>
      </c>
    </row>
    <row r="600" spans="1:16" x14ac:dyDescent="0.45">
      <c r="A600" t="s">
        <v>873</v>
      </c>
      <c r="B600" s="2">
        <v>1009423</v>
      </c>
      <c r="D600" t="s">
        <v>41</v>
      </c>
      <c r="F600" t="s">
        <v>42</v>
      </c>
      <c r="G600" t="s">
        <v>179</v>
      </c>
      <c r="H600" s="1">
        <v>18.59</v>
      </c>
      <c r="I600" s="6">
        <v>34.26</v>
      </c>
      <c r="J600" s="6">
        <v>33.1</v>
      </c>
      <c r="K600" s="6">
        <v>19.705400000000001</v>
      </c>
      <c r="L600">
        <v>8</v>
      </c>
      <c r="M600">
        <v>100</v>
      </c>
      <c r="N600" t="b">
        <v>0</v>
      </c>
      <c r="O600" t="b">
        <v>0</v>
      </c>
      <c r="P600" t="b">
        <v>1</v>
      </c>
    </row>
    <row r="601" spans="1:16" x14ac:dyDescent="0.45">
      <c r="A601" t="s">
        <v>874</v>
      </c>
      <c r="B601" s="2">
        <v>3000739</v>
      </c>
      <c r="D601" t="s">
        <v>41</v>
      </c>
      <c r="F601" t="s">
        <v>42</v>
      </c>
      <c r="G601" t="s">
        <v>872</v>
      </c>
      <c r="H601" s="1">
        <v>18.59</v>
      </c>
      <c r="I601" s="6">
        <v>37.037039999999998</v>
      </c>
      <c r="J601" s="6">
        <v>33.1</v>
      </c>
      <c r="K601" s="6">
        <v>19.705400000000001</v>
      </c>
      <c r="L601">
        <v>8</v>
      </c>
      <c r="M601">
        <v>100</v>
      </c>
      <c r="N601" t="b">
        <v>0</v>
      </c>
      <c r="O601" t="b">
        <v>0</v>
      </c>
      <c r="P601" t="b">
        <v>1</v>
      </c>
    </row>
    <row r="602" spans="1:16" x14ac:dyDescent="0.45">
      <c r="A602" t="s">
        <v>875</v>
      </c>
      <c r="B602" s="2">
        <v>3002200</v>
      </c>
      <c r="D602" t="s">
        <v>41</v>
      </c>
      <c r="F602" t="s">
        <v>42</v>
      </c>
      <c r="G602" t="s">
        <v>179</v>
      </c>
      <c r="H602" s="1">
        <v>27.602</v>
      </c>
      <c r="I602" s="6">
        <v>77.78</v>
      </c>
      <c r="J602" s="6">
        <v>74.069999999999993</v>
      </c>
      <c r="K602" s="6">
        <v>29.258120000000002</v>
      </c>
      <c r="L602">
        <v>8</v>
      </c>
      <c r="M602">
        <v>100</v>
      </c>
      <c r="N602" t="b">
        <v>0</v>
      </c>
      <c r="O602" t="b">
        <v>0</v>
      </c>
      <c r="P602" t="b">
        <v>1</v>
      </c>
    </row>
    <row r="603" spans="1:16" x14ac:dyDescent="0.45">
      <c r="A603" t="s">
        <v>876</v>
      </c>
      <c r="B603" s="2">
        <v>1006899</v>
      </c>
      <c r="D603" t="s">
        <v>41</v>
      </c>
      <c r="F603" t="s">
        <v>42</v>
      </c>
      <c r="G603" t="s">
        <v>877</v>
      </c>
      <c r="H603" s="1">
        <v>24.355</v>
      </c>
      <c r="I603" s="6">
        <v>80</v>
      </c>
      <c r="J603" s="6">
        <v>80</v>
      </c>
      <c r="K603" s="6">
        <v>25.816299999999998</v>
      </c>
      <c r="L603">
        <v>8</v>
      </c>
      <c r="M603">
        <v>0</v>
      </c>
      <c r="N603" t="b">
        <v>0</v>
      </c>
      <c r="O603" t="b">
        <v>0</v>
      </c>
      <c r="P603" t="b">
        <v>1</v>
      </c>
    </row>
    <row r="604" spans="1:16" x14ac:dyDescent="0.45">
      <c r="A604" t="s">
        <v>878</v>
      </c>
      <c r="B604" s="2">
        <v>6000168</v>
      </c>
      <c r="D604" t="s">
        <v>34</v>
      </c>
      <c r="F604" t="s">
        <v>38</v>
      </c>
      <c r="G604" t="s">
        <v>176</v>
      </c>
      <c r="H604" s="1">
        <v>13.426</v>
      </c>
      <c r="I604" s="6">
        <v>21.6</v>
      </c>
      <c r="J604" s="6">
        <v>21.6</v>
      </c>
      <c r="K604" s="6">
        <v>14.23156</v>
      </c>
      <c r="L604">
        <v>8</v>
      </c>
      <c r="M604">
        <v>0</v>
      </c>
      <c r="N604" t="b">
        <v>0</v>
      </c>
      <c r="O604" t="b">
        <v>0</v>
      </c>
      <c r="P604" t="b">
        <v>1</v>
      </c>
    </row>
    <row r="605" spans="1:16" x14ac:dyDescent="0.45">
      <c r="A605" t="s">
        <v>879</v>
      </c>
      <c r="B605" s="2">
        <v>3000052</v>
      </c>
      <c r="D605" t="s">
        <v>41</v>
      </c>
      <c r="F605" t="s">
        <v>38</v>
      </c>
      <c r="G605" t="s">
        <v>47</v>
      </c>
      <c r="H605" s="1">
        <v>18.791119999999999</v>
      </c>
      <c r="I605" s="6">
        <v>36.67</v>
      </c>
      <c r="J605" s="6">
        <v>36.67</v>
      </c>
      <c r="K605" s="6">
        <v>19.918587200000001</v>
      </c>
      <c r="L605">
        <v>8</v>
      </c>
      <c r="M605">
        <v>150</v>
      </c>
      <c r="N605" t="b">
        <v>0</v>
      </c>
      <c r="O605" t="b">
        <v>0</v>
      </c>
      <c r="P605" t="b">
        <v>1</v>
      </c>
    </row>
    <row r="606" spans="1:16" x14ac:dyDescent="0.45">
      <c r="A606" t="s">
        <v>880</v>
      </c>
      <c r="B606" s="2">
        <v>3000176</v>
      </c>
      <c r="D606" t="s">
        <v>41</v>
      </c>
      <c r="F606" t="s">
        <v>159</v>
      </c>
      <c r="G606" t="s">
        <v>881</v>
      </c>
      <c r="H606" s="1">
        <v>7.0084600000000004</v>
      </c>
      <c r="I606" s="6">
        <v>12.5</v>
      </c>
      <c r="J606" s="6">
        <v>12.5</v>
      </c>
      <c r="K606" s="6">
        <v>7.4289676</v>
      </c>
      <c r="L606">
        <v>8</v>
      </c>
      <c r="M606">
        <v>60</v>
      </c>
      <c r="N606" t="b">
        <v>0</v>
      </c>
      <c r="O606" t="b">
        <v>0</v>
      </c>
      <c r="P606" t="b">
        <v>1</v>
      </c>
    </row>
    <row r="607" spans="1:16" x14ac:dyDescent="0.45">
      <c r="A607" t="s">
        <v>882</v>
      </c>
      <c r="B607" s="2">
        <v>6000219</v>
      </c>
      <c r="C607" t="s">
        <v>33</v>
      </c>
      <c r="D607" t="s">
        <v>34</v>
      </c>
      <c r="E607" s="5" t="s">
        <v>33</v>
      </c>
      <c r="F607" t="s">
        <v>159</v>
      </c>
      <c r="G607" t="s">
        <v>883</v>
      </c>
      <c r="H607" s="1">
        <v>13.12</v>
      </c>
      <c r="I607" s="6">
        <v>23.148150000000001</v>
      </c>
      <c r="J607" s="6">
        <v>20.02</v>
      </c>
      <c r="K607" s="6">
        <v>25</v>
      </c>
      <c r="L607">
        <v>8</v>
      </c>
      <c r="M607">
        <v>0</v>
      </c>
      <c r="N607" t="b">
        <v>0</v>
      </c>
      <c r="O607" t="b">
        <v>0</v>
      </c>
      <c r="P607" t="b">
        <v>1</v>
      </c>
    </row>
    <row r="608" spans="1:16" x14ac:dyDescent="0.45">
      <c r="A608" t="s">
        <v>884</v>
      </c>
      <c r="B608" s="2">
        <v>3000534</v>
      </c>
      <c r="D608" t="s">
        <v>41</v>
      </c>
      <c r="F608" t="s">
        <v>159</v>
      </c>
      <c r="G608" t="s">
        <v>252</v>
      </c>
      <c r="H608" s="1">
        <v>47.74</v>
      </c>
      <c r="I608" s="6">
        <v>100</v>
      </c>
      <c r="J608" s="6">
        <v>100</v>
      </c>
      <c r="K608" s="6">
        <v>50.604399999999998</v>
      </c>
      <c r="L608">
        <v>0</v>
      </c>
      <c r="M608">
        <v>0</v>
      </c>
      <c r="N608" t="b">
        <v>0</v>
      </c>
      <c r="O608" t="b">
        <v>0</v>
      </c>
      <c r="P608" t="b">
        <v>1</v>
      </c>
    </row>
    <row r="609" spans="1:16" x14ac:dyDescent="0.45">
      <c r="A609" t="s">
        <v>885</v>
      </c>
      <c r="B609" s="2">
        <v>232</v>
      </c>
      <c r="D609" t="s">
        <v>41</v>
      </c>
      <c r="F609" t="s">
        <v>51</v>
      </c>
      <c r="G609" t="s">
        <v>886</v>
      </c>
      <c r="H609" s="1">
        <v>69.58</v>
      </c>
      <c r="I609" s="6">
        <v>540</v>
      </c>
      <c r="J609" s="6">
        <v>540</v>
      </c>
      <c r="K609" s="6">
        <v>73.754800000000003</v>
      </c>
      <c r="L609">
        <v>8</v>
      </c>
      <c r="M609">
        <v>0</v>
      </c>
      <c r="N609" t="b">
        <v>0</v>
      </c>
      <c r="O609" t="b">
        <v>0</v>
      </c>
      <c r="P609" t="b">
        <v>1</v>
      </c>
    </row>
    <row r="610" spans="1:16" x14ac:dyDescent="0.45">
      <c r="A610" t="s">
        <v>887</v>
      </c>
      <c r="B610" s="2">
        <v>3000053</v>
      </c>
      <c r="D610" t="s">
        <v>41</v>
      </c>
      <c r="F610" t="s">
        <v>51</v>
      </c>
      <c r="G610" t="s">
        <v>47</v>
      </c>
      <c r="H610" s="1">
        <v>158.07</v>
      </c>
      <c r="I610" s="6">
        <v>324.07409999999999</v>
      </c>
      <c r="J610" s="6">
        <v>300.93</v>
      </c>
      <c r="K610" s="6">
        <v>167.55420000000001</v>
      </c>
      <c r="L610">
        <v>8</v>
      </c>
      <c r="M610">
        <v>0</v>
      </c>
      <c r="N610" t="b">
        <v>0</v>
      </c>
      <c r="O610" t="b">
        <v>0</v>
      </c>
      <c r="P610" t="b">
        <v>1</v>
      </c>
    </row>
    <row r="611" spans="1:16" x14ac:dyDescent="0.45">
      <c r="A611" t="s">
        <v>888</v>
      </c>
      <c r="B611" s="2">
        <v>3000350</v>
      </c>
      <c r="D611" t="s">
        <v>357</v>
      </c>
      <c r="F611" t="s">
        <v>42</v>
      </c>
      <c r="G611" t="s">
        <v>889</v>
      </c>
      <c r="H611" s="1">
        <v>291.51</v>
      </c>
      <c r="I611" s="6">
        <v>486</v>
      </c>
      <c r="J611" s="6">
        <v>486</v>
      </c>
      <c r="K611" s="6">
        <v>309.00060000000002</v>
      </c>
      <c r="L611">
        <v>8</v>
      </c>
      <c r="M611">
        <v>10</v>
      </c>
      <c r="N611" t="b">
        <v>0</v>
      </c>
      <c r="O611" t="b">
        <v>0</v>
      </c>
      <c r="P611" t="b">
        <v>1</v>
      </c>
    </row>
    <row r="612" spans="1:16" x14ac:dyDescent="0.45">
      <c r="A612" t="s">
        <v>890</v>
      </c>
      <c r="B612" s="2">
        <v>59</v>
      </c>
      <c r="D612" t="s">
        <v>357</v>
      </c>
      <c r="F612" t="s">
        <v>42</v>
      </c>
      <c r="G612" t="s">
        <v>65</v>
      </c>
      <c r="H612" s="1">
        <v>81.441999999999993</v>
      </c>
      <c r="I612" s="6">
        <v>297</v>
      </c>
      <c r="J612" s="6">
        <v>297</v>
      </c>
      <c r="K612" s="6">
        <v>86.328519999999997</v>
      </c>
      <c r="L612">
        <v>8</v>
      </c>
      <c r="M612">
        <v>0</v>
      </c>
      <c r="N612" t="b">
        <v>0</v>
      </c>
      <c r="O612" t="b">
        <v>0</v>
      </c>
      <c r="P612" t="b">
        <v>1</v>
      </c>
    </row>
    <row r="613" spans="1:16" x14ac:dyDescent="0.45">
      <c r="A613" t="s">
        <v>891</v>
      </c>
      <c r="B613" s="2">
        <v>6000124</v>
      </c>
      <c r="C613" t="s">
        <v>33</v>
      </c>
      <c r="D613" t="s">
        <v>34</v>
      </c>
      <c r="E613" s="5" t="s">
        <v>33</v>
      </c>
      <c r="F613" t="s">
        <v>38</v>
      </c>
      <c r="G613" t="s">
        <v>892</v>
      </c>
      <c r="H613" s="1">
        <v>4.38</v>
      </c>
      <c r="I613" s="6">
        <v>6</v>
      </c>
      <c r="J613" s="6">
        <v>5.75</v>
      </c>
      <c r="K613" s="6">
        <v>4.6399999999999997</v>
      </c>
      <c r="L613">
        <v>0</v>
      </c>
      <c r="M613">
        <v>0</v>
      </c>
      <c r="N613" t="b">
        <v>0</v>
      </c>
      <c r="O613" t="b">
        <v>0</v>
      </c>
      <c r="P613" t="b">
        <v>1</v>
      </c>
    </row>
    <row r="614" spans="1:16" x14ac:dyDescent="0.45">
      <c r="A614" t="s">
        <v>893</v>
      </c>
      <c r="B614" s="2">
        <v>3000103</v>
      </c>
      <c r="D614" t="s">
        <v>502</v>
      </c>
      <c r="F614" t="s">
        <v>42</v>
      </c>
      <c r="G614" t="s">
        <v>894</v>
      </c>
      <c r="H614" s="1">
        <v>71.48</v>
      </c>
      <c r="I614" s="6">
        <v>112</v>
      </c>
      <c r="J614" s="6">
        <v>112</v>
      </c>
      <c r="K614" s="6">
        <v>75.768799999999999</v>
      </c>
      <c r="L614">
        <v>8</v>
      </c>
      <c r="M614">
        <v>0</v>
      </c>
      <c r="N614" t="b">
        <v>0</v>
      </c>
      <c r="O614" t="b">
        <v>0</v>
      </c>
      <c r="P614" t="b">
        <v>1</v>
      </c>
    </row>
    <row r="615" spans="1:16" x14ac:dyDescent="0.45">
      <c r="A615" t="s">
        <v>895</v>
      </c>
      <c r="B615" s="2">
        <v>6000125</v>
      </c>
      <c r="D615" t="s">
        <v>34</v>
      </c>
      <c r="F615" t="s">
        <v>159</v>
      </c>
      <c r="G615" t="s">
        <v>896</v>
      </c>
      <c r="H615" s="1">
        <v>33</v>
      </c>
      <c r="I615" s="6">
        <v>54.17</v>
      </c>
      <c r="J615" s="6">
        <v>54.17</v>
      </c>
      <c r="K615" s="6">
        <v>34.979999999999997</v>
      </c>
      <c r="L615">
        <v>8</v>
      </c>
      <c r="M615">
        <v>0</v>
      </c>
      <c r="N615" t="b">
        <v>0</v>
      </c>
      <c r="O615" t="b">
        <v>0</v>
      </c>
      <c r="P615" t="b">
        <v>1</v>
      </c>
    </row>
    <row r="616" spans="1:16" x14ac:dyDescent="0.45">
      <c r="A616" t="s">
        <v>897</v>
      </c>
      <c r="B616" s="2">
        <v>3000399</v>
      </c>
      <c r="D616" t="s">
        <v>41</v>
      </c>
      <c r="F616" t="s">
        <v>159</v>
      </c>
      <c r="G616" t="s">
        <v>328</v>
      </c>
      <c r="H616" s="1">
        <v>29.59</v>
      </c>
      <c r="I616" s="6">
        <v>55.555555499999997</v>
      </c>
      <c r="J616" s="6">
        <v>52.47</v>
      </c>
      <c r="K616" s="6">
        <v>31.365400000000001</v>
      </c>
      <c r="L616">
        <v>8</v>
      </c>
      <c r="M616">
        <v>60</v>
      </c>
      <c r="N616" t="b">
        <v>0</v>
      </c>
      <c r="O616" t="b">
        <v>0</v>
      </c>
      <c r="P616" t="b">
        <v>1</v>
      </c>
    </row>
    <row r="617" spans="1:16" x14ac:dyDescent="0.45">
      <c r="A617" t="s">
        <v>898</v>
      </c>
      <c r="B617" s="2">
        <v>6000169</v>
      </c>
      <c r="D617" t="s">
        <v>34</v>
      </c>
      <c r="F617" t="s">
        <v>159</v>
      </c>
      <c r="G617" t="s">
        <v>257</v>
      </c>
      <c r="H617" s="1">
        <v>15.740830000000001</v>
      </c>
      <c r="I617" s="6">
        <v>21.6</v>
      </c>
      <c r="J617" s="6">
        <v>21.6</v>
      </c>
      <c r="K617" s="6">
        <v>16.6852798</v>
      </c>
      <c r="L617">
        <v>8</v>
      </c>
      <c r="M617">
        <v>0</v>
      </c>
      <c r="N617" t="b">
        <v>0</v>
      </c>
      <c r="O617" t="b">
        <v>0</v>
      </c>
      <c r="P617" t="b">
        <v>1</v>
      </c>
    </row>
    <row r="618" spans="1:16" x14ac:dyDescent="0.45">
      <c r="A618" t="s">
        <v>899</v>
      </c>
      <c r="B618" s="2">
        <v>1008407</v>
      </c>
      <c r="D618" t="s">
        <v>34</v>
      </c>
      <c r="F618" t="s">
        <v>159</v>
      </c>
      <c r="G618" t="s">
        <v>900</v>
      </c>
      <c r="H618" s="1">
        <v>32.409999999999997</v>
      </c>
      <c r="I618" s="6">
        <v>30.56</v>
      </c>
      <c r="J618" s="6">
        <v>30.56</v>
      </c>
      <c r="K618" s="6">
        <v>34.354599999999998</v>
      </c>
      <c r="L618">
        <v>8</v>
      </c>
      <c r="M618">
        <v>0</v>
      </c>
      <c r="N618" t="b">
        <v>0</v>
      </c>
      <c r="O618" t="b">
        <v>0</v>
      </c>
      <c r="P618" t="b">
        <v>1</v>
      </c>
    </row>
    <row r="619" spans="1:16" x14ac:dyDescent="0.45">
      <c r="A619" t="s">
        <v>901</v>
      </c>
      <c r="B619" s="2">
        <v>6000213</v>
      </c>
      <c r="D619" t="s">
        <v>34</v>
      </c>
      <c r="F619" t="s">
        <v>339</v>
      </c>
      <c r="G619" t="s">
        <v>395</v>
      </c>
      <c r="H619" s="1">
        <v>104.16667</v>
      </c>
      <c r="I619" s="6">
        <v>166.66669999999999</v>
      </c>
      <c r="J619" s="6">
        <v>162.04</v>
      </c>
      <c r="K619" s="6">
        <v>110.4166702</v>
      </c>
      <c r="L619">
        <v>8</v>
      </c>
      <c r="M619">
        <v>0</v>
      </c>
      <c r="N619" t="b">
        <v>0</v>
      </c>
      <c r="O619" t="b">
        <v>0</v>
      </c>
      <c r="P619" t="b">
        <v>1</v>
      </c>
    </row>
    <row r="620" spans="1:16" x14ac:dyDescent="0.45">
      <c r="A620" t="s">
        <v>902</v>
      </c>
      <c r="B620" s="2">
        <v>3003092</v>
      </c>
      <c r="D620" t="s">
        <v>41</v>
      </c>
      <c r="F620" t="s">
        <v>51</v>
      </c>
      <c r="G620" t="s">
        <v>395</v>
      </c>
      <c r="H620" s="1">
        <v>146.34</v>
      </c>
      <c r="I620" s="6">
        <v>287.03699999999998</v>
      </c>
      <c r="J620" s="6">
        <v>277.77999999999997</v>
      </c>
      <c r="K620" s="6">
        <v>155.12039999999999</v>
      </c>
      <c r="L620">
        <v>8</v>
      </c>
      <c r="M620">
        <v>0</v>
      </c>
      <c r="N620" t="b">
        <v>0</v>
      </c>
      <c r="O620" t="b">
        <v>0</v>
      </c>
      <c r="P620" t="b">
        <v>1</v>
      </c>
    </row>
    <row r="621" spans="1:16" x14ac:dyDescent="0.45">
      <c r="A621" t="s">
        <v>903</v>
      </c>
      <c r="B621" s="2">
        <v>3000709</v>
      </c>
      <c r="D621" t="s">
        <v>41</v>
      </c>
      <c r="F621" t="s">
        <v>159</v>
      </c>
      <c r="G621" t="s">
        <v>904</v>
      </c>
      <c r="H621" s="1">
        <v>42.494999999999997</v>
      </c>
      <c r="I621" s="6">
        <v>78.703000000000003</v>
      </c>
      <c r="J621" s="6">
        <v>77.160493000000002</v>
      </c>
      <c r="K621" s="6">
        <v>45.044699999999999</v>
      </c>
      <c r="L621">
        <v>8</v>
      </c>
      <c r="M621">
        <v>0</v>
      </c>
      <c r="N621" t="b">
        <v>0</v>
      </c>
      <c r="O621" t="b">
        <v>0</v>
      </c>
      <c r="P621" t="b">
        <v>1</v>
      </c>
    </row>
    <row r="622" spans="1:16" x14ac:dyDescent="0.45">
      <c r="A622" t="s">
        <v>905</v>
      </c>
      <c r="B622" s="2">
        <v>3003093</v>
      </c>
      <c r="D622" t="s">
        <v>41</v>
      </c>
      <c r="F622" t="s">
        <v>51</v>
      </c>
      <c r="G622" t="s">
        <v>395</v>
      </c>
      <c r="H622" s="1">
        <v>100.08</v>
      </c>
      <c r="I622" s="6">
        <v>157.4074</v>
      </c>
      <c r="J622" s="6">
        <v>157.4074</v>
      </c>
      <c r="K622" s="6">
        <v>106.0848</v>
      </c>
      <c r="L622">
        <v>8</v>
      </c>
      <c r="M622">
        <v>0</v>
      </c>
      <c r="N622" t="b">
        <v>0</v>
      </c>
      <c r="O622" t="b">
        <v>0</v>
      </c>
      <c r="P622" t="b">
        <v>1</v>
      </c>
    </row>
    <row r="623" spans="1:16" x14ac:dyDescent="0.45">
      <c r="A623" t="s">
        <v>906</v>
      </c>
      <c r="B623" s="2">
        <v>228</v>
      </c>
      <c r="D623" t="s">
        <v>41</v>
      </c>
      <c r="F623" t="s">
        <v>159</v>
      </c>
      <c r="G623" t="s">
        <v>449</v>
      </c>
      <c r="H623" s="1">
        <v>32.180999999999997</v>
      </c>
      <c r="I623" s="6">
        <v>54</v>
      </c>
      <c r="J623" s="6">
        <v>54</v>
      </c>
      <c r="K623" s="6">
        <v>34.11186</v>
      </c>
      <c r="L623">
        <v>8</v>
      </c>
      <c r="M623">
        <v>0</v>
      </c>
      <c r="N623" t="b">
        <v>0</v>
      </c>
      <c r="O623" t="b">
        <v>0</v>
      </c>
      <c r="P623" t="b">
        <v>1</v>
      </c>
    </row>
    <row r="624" spans="1:16" x14ac:dyDescent="0.45">
      <c r="A624" t="s">
        <v>907</v>
      </c>
      <c r="B624" s="2">
        <v>300817</v>
      </c>
      <c r="C624" t="s">
        <v>33</v>
      </c>
      <c r="D624" t="s">
        <v>41</v>
      </c>
      <c r="E624" s="5" t="s">
        <v>33</v>
      </c>
      <c r="F624" t="s">
        <v>51</v>
      </c>
      <c r="G624" t="s">
        <v>908</v>
      </c>
      <c r="H624" s="1">
        <v>102.28</v>
      </c>
      <c r="I624" s="6">
        <v>250</v>
      </c>
      <c r="J624" s="6">
        <v>231.48148</v>
      </c>
      <c r="K624" s="6">
        <v>108.42</v>
      </c>
      <c r="L624">
        <v>8</v>
      </c>
      <c r="M624">
        <v>60</v>
      </c>
      <c r="N624" t="b">
        <v>0</v>
      </c>
      <c r="O624" t="b">
        <v>0</v>
      </c>
      <c r="P624" t="b">
        <v>1</v>
      </c>
    </row>
    <row r="625" spans="1:16" x14ac:dyDescent="0.45">
      <c r="A625" t="s">
        <v>909</v>
      </c>
      <c r="B625" s="2">
        <v>6000126</v>
      </c>
      <c r="D625" t="s">
        <v>34</v>
      </c>
      <c r="F625" t="s">
        <v>159</v>
      </c>
      <c r="G625" t="s">
        <v>908</v>
      </c>
      <c r="H625" s="1">
        <v>175</v>
      </c>
      <c r="I625" s="6">
        <v>237.5</v>
      </c>
      <c r="J625" s="6">
        <v>237.5</v>
      </c>
      <c r="K625" s="6">
        <v>185.5</v>
      </c>
      <c r="L625">
        <v>8</v>
      </c>
      <c r="M625">
        <v>0</v>
      </c>
      <c r="N625" t="b">
        <v>0</v>
      </c>
      <c r="O625" t="b">
        <v>0</v>
      </c>
      <c r="P625" t="b">
        <v>1</v>
      </c>
    </row>
    <row r="626" spans="1:16" x14ac:dyDescent="0.45">
      <c r="A626" t="s">
        <v>910</v>
      </c>
      <c r="B626" s="2">
        <v>3003159</v>
      </c>
      <c r="D626" t="s">
        <v>41</v>
      </c>
      <c r="F626" t="s">
        <v>51</v>
      </c>
      <c r="G626" t="s">
        <v>86</v>
      </c>
      <c r="H626" s="1">
        <v>70.78</v>
      </c>
      <c r="I626" s="6">
        <v>140</v>
      </c>
      <c r="J626" s="6">
        <v>140</v>
      </c>
      <c r="K626" s="6">
        <v>75.026799999999994</v>
      </c>
      <c r="L626">
        <v>8</v>
      </c>
      <c r="M626">
        <v>0</v>
      </c>
      <c r="N626" t="b">
        <v>0</v>
      </c>
      <c r="O626" t="b">
        <v>0</v>
      </c>
      <c r="P626" t="b">
        <v>1</v>
      </c>
    </row>
    <row r="627" spans="1:16" x14ac:dyDescent="0.45">
      <c r="A627" t="s">
        <v>911</v>
      </c>
      <c r="B627" s="2">
        <v>6000170</v>
      </c>
      <c r="D627" t="s">
        <v>34</v>
      </c>
      <c r="F627" t="s">
        <v>159</v>
      </c>
      <c r="G627" t="s">
        <v>908</v>
      </c>
      <c r="H627" s="1">
        <v>225</v>
      </c>
      <c r="I627" s="6">
        <v>324</v>
      </c>
      <c r="J627" s="6">
        <v>324</v>
      </c>
      <c r="K627" s="6">
        <v>238.5</v>
      </c>
      <c r="L627">
        <v>8</v>
      </c>
      <c r="M627">
        <v>0</v>
      </c>
      <c r="N627" t="b">
        <v>0</v>
      </c>
      <c r="O627" t="b">
        <v>0</v>
      </c>
      <c r="P627" t="b">
        <v>1</v>
      </c>
    </row>
    <row r="628" spans="1:16" x14ac:dyDescent="0.45">
      <c r="A628" t="s">
        <v>912</v>
      </c>
      <c r="B628" s="2">
        <v>3000307</v>
      </c>
      <c r="D628" t="s">
        <v>41</v>
      </c>
      <c r="F628" t="s">
        <v>159</v>
      </c>
      <c r="G628" t="s">
        <v>326</v>
      </c>
      <c r="H628" s="1">
        <v>13.23</v>
      </c>
      <c r="I628" s="6">
        <v>30</v>
      </c>
      <c r="J628" s="6">
        <v>30</v>
      </c>
      <c r="K628" s="6">
        <v>14.0238</v>
      </c>
      <c r="L628">
        <v>8</v>
      </c>
      <c r="M628">
        <v>0</v>
      </c>
      <c r="N628" t="b">
        <v>0</v>
      </c>
      <c r="O628" t="b">
        <v>0</v>
      </c>
      <c r="P628" t="b">
        <v>1</v>
      </c>
    </row>
    <row r="629" spans="1:16" x14ac:dyDescent="0.45">
      <c r="A629" t="s">
        <v>913</v>
      </c>
      <c r="B629" s="2">
        <v>147</v>
      </c>
      <c r="D629" t="s">
        <v>41</v>
      </c>
      <c r="F629" t="s">
        <v>159</v>
      </c>
      <c r="G629" t="s">
        <v>914</v>
      </c>
      <c r="H629" s="1">
        <v>10.525</v>
      </c>
      <c r="I629" s="6">
        <v>151.19999999999999</v>
      </c>
      <c r="J629" s="6">
        <v>151.19999999999999</v>
      </c>
      <c r="K629" s="6">
        <v>11.156499999999999</v>
      </c>
      <c r="L629">
        <v>8</v>
      </c>
      <c r="M629">
        <v>0</v>
      </c>
      <c r="N629" t="b">
        <v>0</v>
      </c>
      <c r="O629" t="b">
        <v>0</v>
      </c>
      <c r="P629" t="b">
        <v>1</v>
      </c>
    </row>
    <row r="630" spans="1:16" x14ac:dyDescent="0.45">
      <c r="A630" t="s">
        <v>915</v>
      </c>
      <c r="B630" s="2">
        <v>3003259</v>
      </c>
      <c r="D630" t="s">
        <v>41</v>
      </c>
      <c r="F630" t="s">
        <v>159</v>
      </c>
      <c r="G630" t="s">
        <v>916</v>
      </c>
      <c r="H630" s="1">
        <v>13.99</v>
      </c>
      <c r="I630" s="6">
        <v>46.296300000000002</v>
      </c>
      <c r="J630" s="6">
        <v>41.67</v>
      </c>
      <c r="K630" s="6">
        <v>14.8294</v>
      </c>
      <c r="L630">
        <v>8</v>
      </c>
      <c r="M630">
        <v>120</v>
      </c>
      <c r="N630" t="b">
        <v>0</v>
      </c>
      <c r="O630" t="b">
        <v>0</v>
      </c>
      <c r="P630" t="b">
        <v>1</v>
      </c>
    </row>
    <row r="631" spans="1:16" x14ac:dyDescent="0.45">
      <c r="A631" t="s">
        <v>917</v>
      </c>
      <c r="B631" s="2">
        <v>6000171</v>
      </c>
      <c r="D631" t="s">
        <v>34</v>
      </c>
      <c r="F631" t="s">
        <v>159</v>
      </c>
      <c r="G631" t="s">
        <v>768</v>
      </c>
      <c r="H631" s="1">
        <v>35.880000000000003</v>
      </c>
      <c r="I631" s="6">
        <v>58.33</v>
      </c>
      <c r="J631" s="6">
        <v>58.33</v>
      </c>
      <c r="K631" s="6">
        <v>38.032800000000002</v>
      </c>
      <c r="L631">
        <v>8</v>
      </c>
      <c r="M631">
        <v>0</v>
      </c>
      <c r="N631" t="b">
        <v>0</v>
      </c>
      <c r="O631" t="b">
        <v>0</v>
      </c>
      <c r="P631" t="b">
        <v>1</v>
      </c>
    </row>
    <row r="632" spans="1:16" x14ac:dyDescent="0.45">
      <c r="A632" t="s">
        <v>918</v>
      </c>
      <c r="B632" s="2">
        <v>528</v>
      </c>
      <c r="D632" t="s">
        <v>41</v>
      </c>
      <c r="F632" t="s">
        <v>159</v>
      </c>
      <c r="G632" t="s">
        <v>919</v>
      </c>
      <c r="H632" s="1">
        <v>32.38167</v>
      </c>
      <c r="I632" s="6">
        <v>80</v>
      </c>
      <c r="J632" s="6">
        <v>80</v>
      </c>
      <c r="K632" s="6">
        <v>34.324570199999997</v>
      </c>
      <c r="L632">
        <v>8</v>
      </c>
      <c r="M632">
        <v>0</v>
      </c>
      <c r="N632" t="b">
        <v>0</v>
      </c>
      <c r="O632" t="b">
        <v>0</v>
      </c>
      <c r="P632" t="b">
        <v>1</v>
      </c>
    </row>
    <row r="633" spans="1:16" x14ac:dyDescent="0.45">
      <c r="A633" t="s">
        <v>920</v>
      </c>
      <c r="B633" s="2">
        <v>1009070</v>
      </c>
      <c r="D633" t="s">
        <v>41</v>
      </c>
      <c r="E633" s="5" t="s">
        <v>1077</v>
      </c>
      <c r="F633" t="s">
        <v>159</v>
      </c>
      <c r="G633" t="s">
        <v>367</v>
      </c>
      <c r="H633" s="1">
        <v>64.767690000000002</v>
      </c>
      <c r="I633" s="6">
        <v>129.62960000000001</v>
      </c>
      <c r="J633" s="6">
        <v>125</v>
      </c>
      <c r="K633" s="6">
        <v>68.653751400000004</v>
      </c>
      <c r="L633">
        <v>8</v>
      </c>
      <c r="M633">
        <v>30</v>
      </c>
      <c r="N633" t="b">
        <v>0</v>
      </c>
      <c r="O633" t="b">
        <v>0</v>
      </c>
      <c r="P633" t="b">
        <v>1</v>
      </c>
    </row>
    <row r="634" spans="1:16" x14ac:dyDescent="0.45">
      <c r="A634" t="s">
        <v>921</v>
      </c>
      <c r="B634" s="2">
        <v>1009890</v>
      </c>
      <c r="D634" t="s">
        <v>41</v>
      </c>
      <c r="F634" t="s">
        <v>159</v>
      </c>
      <c r="G634" t="s">
        <v>922</v>
      </c>
      <c r="H634" s="1">
        <v>9.3010000000000002</v>
      </c>
      <c r="I634" s="6">
        <v>45.36</v>
      </c>
      <c r="J634" s="6">
        <v>45.36</v>
      </c>
      <c r="K634" s="6">
        <v>9.8590599999999995</v>
      </c>
      <c r="L634">
        <v>8</v>
      </c>
      <c r="M634">
        <v>60</v>
      </c>
      <c r="N634" t="b">
        <v>0</v>
      </c>
      <c r="O634" t="b">
        <v>0</v>
      </c>
      <c r="P634" t="b">
        <v>1</v>
      </c>
    </row>
    <row r="635" spans="1:16" x14ac:dyDescent="0.45">
      <c r="A635" t="s">
        <v>923</v>
      </c>
      <c r="B635" s="2">
        <v>3000602</v>
      </c>
      <c r="D635" t="s">
        <v>41</v>
      </c>
      <c r="F635" t="s">
        <v>51</v>
      </c>
      <c r="G635" t="s">
        <v>908</v>
      </c>
      <c r="H635" s="1">
        <v>117.58</v>
      </c>
      <c r="I635" s="6">
        <v>222.222222222222</v>
      </c>
      <c r="J635" s="6">
        <v>217.59259</v>
      </c>
      <c r="K635" s="6">
        <v>124.6348</v>
      </c>
      <c r="L635">
        <v>8</v>
      </c>
      <c r="M635">
        <v>0</v>
      </c>
      <c r="N635" t="b">
        <v>0</v>
      </c>
      <c r="O635" t="b">
        <v>0</v>
      </c>
      <c r="P635" t="b">
        <v>1</v>
      </c>
    </row>
    <row r="636" spans="1:16" x14ac:dyDescent="0.45">
      <c r="A636" t="s">
        <v>924</v>
      </c>
      <c r="B636" s="2">
        <v>3000585</v>
      </c>
      <c r="D636" t="s">
        <v>41</v>
      </c>
      <c r="F636" t="s">
        <v>159</v>
      </c>
      <c r="G636" t="s">
        <v>768</v>
      </c>
      <c r="H636" s="1">
        <v>27.566839999999999</v>
      </c>
      <c r="I636" s="6">
        <v>41.67</v>
      </c>
      <c r="J636" s="6">
        <v>41.67</v>
      </c>
      <c r="K636" s="6">
        <v>29.2208504</v>
      </c>
      <c r="L636">
        <v>8</v>
      </c>
      <c r="M636">
        <v>0</v>
      </c>
      <c r="N636" t="b">
        <v>0</v>
      </c>
      <c r="O636" t="b">
        <v>0</v>
      </c>
      <c r="P636" t="b">
        <v>1</v>
      </c>
    </row>
    <row r="637" spans="1:16" x14ac:dyDescent="0.45">
      <c r="A637" t="s">
        <v>925</v>
      </c>
      <c r="B637" s="2">
        <v>3003155</v>
      </c>
      <c r="D637" t="s">
        <v>41</v>
      </c>
      <c r="F637" t="s">
        <v>159</v>
      </c>
      <c r="G637" t="s">
        <v>700</v>
      </c>
      <c r="H637" s="1">
        <v>19.579799999999999</v>
      </c>
      <c r="I637" s="6">
        <v>50.925930000000001</v>
      </c>
      <c r="J637" s="6">
        <v>46.3</v>
      </c>
      <c r="K637" s="6">
        <v>20.754587999999998</v>
      </c>
      <c r="L637">
        <v>8</v>
      </c>
      <c r="M637">
        <v>120</v>
      </c>
      <c r="N637" t="b">
        <v>0</v>
      </c>
      <c r="O637" t="b">
        <v>0</v>
      </c>
      <c r="P637" t="b">
        <v>1</v>
      </c>
    </row>
    <row r="638" spans="1:16" x14ac:dyDescent="0.45">
      <c r="A638" t="s">
        <v>926</v>
      </c>
      <c r="B638" s="2">
        <v>1009864</v>
      </c>
      <c r="D638" t="s">
        <v>41</v>
      </c>
      <c r="F638" t="s">
        <v>159</v>
      </c>
      <c r="G638" t="s">
        <v>927</v>
      </c>
      <c r="H638" s="1">
        <v>43.93</v>
      </c>
      <c r="I638" s="6">
        <v>97.2</v>
      </c>
      <c r="J638" s="6">
        <v>97.2</v>
      </c>
      <c r="K638" s="6">
        <v>46.565800000000003</v>
      </c>
      <c r="L638">
        <v>8</v>
      </c>
      <c r="M638">
        <v>120</v>
      </c>
      <c r="N638" t="b">
        <v>0</v>
      </c>
      <c r="O638" t="b">
        <v>0</v>
      </c>
      <c r="P638" t="b">
        <v>1</v>
      </c>
    </row>
    <row r="639" spans="1:16" x14ac:dyDescent="0.45">
      <c r="A639" t="s">
        <v>928</v>
      </c>
      <c r="B639" s="2">
        <v>6000127</v>
      </c>
      <c r="D639" t="s">
        <v>34</v>
      </c>
      <c r="F639" t="s">
        <v>159</v>
      </c>
      <c r="G639" t="s">
        <v>929</v>
      </c>
      <c r="H639" s="1">
        <v>75</v>
      </c>
      <c r="I639" s="6">
        <v>130</v>
      </c>
      <c r="J639" s="6">
        <v>130</v>
      </c>
      <c r="K639" s="6">
        <v>79.5</v>
      </c>
      <c r="L639">
        <v>8</v>
      </c>
      <c r="M639">
        <v>0</v>
      </c>
      <c r="N639" t="b">
        <v>0</v>
      </c>
      <c r="O639" t="b">
        <v>0</v>
      </c>
      <c r="P639" t="b">
        <v>1</v>
      </c>
    </row>
    <row r="640" spans="1:16" x14ac:dyDescent="0.45">
      <c r="A640" t="s">
        <v>930</v>
      </c>
      <c r="B640" s="2">
        <v>1060796</v>
      </c>
      <c r="D640" t="s">
        <v>41</v>
      </c>
      <c r="F640" t="s">
        <v>159</v>
      </c>
      <c r="G640" t="s">
        <v>931</v>
      </c>
      <c r="H640" s="1">
        <v>33.56</v>
      </c>
      <c r="I640" s="6">
        <v>69.44444</v>
      </c>
      <c r="J640" s="6">
        <v>64.81</v>
      </c>
      <c r="K640" s="6">
        <v>35.573599999999999</v>
      </c>
      <c r="L640">
        <v>8</v>
      </c>
      <c r="M640">
        <v>60</v>
      </c>
      <c r="N640" t="b">
        <v>0</v>
      </c>
      <c r="O640" t="b">
        <v>0</v>
      </c>
      <c r="P640" t="b">
        <v>1</v>
      </c>
    </row>
    <row r="641" spans="1:16" x14ac:dyDescent="0.45">
      <c r="A641" t="s">
        <v>932</v>
      </c>
      <c r="B641" s="2">
        <v>3000688</v>
      </c>
      <c r="D641" t="s">
        <v>41</v>
      </c>
      <c r="F641" t="s">
        <v>159</v>
      </c>
      <c r="G641" t="s">
        <v>933</v>
      </c>
      <c r="H641" s="1">
        <v>36.18</v>
      </c>
      <c r="I641" s="6">
        <v>59.4</v>
      </c>
      <c r="J641" s="6">
        <v>59.4</v>
      </c>
      <c r="K641" s="6">
        <v>38.3508</v>
      </c>
      <c r="L641">
        <v>8</v>
      </c>
      <c r="M641">
        <v>0</v>
      </c>
      <c r="N641" t="b">
        <v>0</v>
      </c>
      <c r="O641" t="b">
        <v>0</v>
      </c>
      <c r="P641" t="b">
        <v>1</v>
      </c>
    </row>
    <row r="642" spans="1:16" x14ac:dyDescent="0.45">
      <c r="A642" t="s">
        <v>934</v>
      </c>
      <c r="B642" s="2">
        <v>6000212</v>
      </c>
      <c r="D642" t="s">
        <v>34</v>
      </c>
      <c r="F642" t="s">
        <v>339</v>
      </c>
      <c r="G642" t="s">
        <v>179</v>
      </c>
      <c r="H642" s="1">
        <v>104.16667</v>
      </c>
      <c r="I642" s="6">
        <v>222.222222222</v>
      </c>
      <c r="J642" s="6">
        <v>219.91</v>
      </c>
      <c r="K642" s="6">
        <v>110.4166702</v>
      </c>
      <c r="L642">
        <v>8</v>
      </c>
      <c r="M642">
        <v>0</v>
      </c>
      <c r="N642" t="b">
        <v>0</v>
      </c>
      <c r="O642" t="b">
        <v>0</v>
      </c>
      <c r="P642" t="b">
        <v>1</v>
      </c>
    </row>
    <row r="643" spans="1:16" x14ac:dyDescent="0.45">
      <c r="A643" t="s">
        <v>935</v>
      </c>
      <c r="B643" s="2">
        <v>1009553</v>
      </c>
      <c r="D643" t="s">
        <v>41</v>
      </c>
      <c r="F643" t="s">
        <v>159</v>
      </c>
      <c r="G643" t="s">
        <v>936</v>
      </c>
      <c r="H643" s="1">
        <v>28.652999999999999</v>
      </c>
      <c r="I643" s="6">
        <v>92.592590000000001</v>
      </c>
      <c r="J643" s="6">
        <v>86.81</v>
      </c>
      <c r="K643" s="6">
        <v>30.37218</v>
      </c>
      <c r="L643">
        <v>8</v>
      </c>
      <c r="M643">
        <v>60</v>
      </c>
      <c r="N643" t="b">
        <v>0</v>
      </c>
      <c r="O643" t="b">
        <v>0</v>
      </c>
      <c r="P643" t="b">
        <v>1</v>
      </c>
    </row>
    <row r="644" spans="1:16" x14ac:dyDescent="0.45">
      <c r="A644" t="s">
        <v>937</v>
      </c>
      <c r="B644" s="2">
        <v>355</v>
      </c>
      <c r="D644" t="s">
        <v>357</v>
      </c>
      <c r="F644" t="s">
        <v>42</v>
      </c>
      <c r="G644" t="s">
        <v>60</v>
      </c>
      <c r="H644" s="1">
        <v>302.77</v>
      </c>
      <c r="I644" s="6">
        <v>432</v>
      </c>
      <c r="J644" s="6">
        <v>432</v>
      </c>
      <c r="K644" s="6">
        <v>320.93619999999999</v>
      </c>
      <c r="L644">
        <v>8</v>
      </c>
      <c r="M644">
        <v>0</v>
      </c>
      <c r="N644" t="b">
        <v>0</v>
      </c>
      <c r="O644" t="b">
        <v>0</v>
      </c>
      <c r="P644" t="b">
        <v>1</v>
      </c>
    </row>
    <row r="645" spans="1:16" x14ac:dyDescent="0.45">
      <c r="A645" t="s">
        <v>938</v>
      </c>
      <c r="B645" s="2">
        <v>6000128</v>
      </c>
      <c r="D645" t="s">
        <v>34</v>
      </c>
      <c r="F645" t="s">
        <v>42</v>
      </c>
      <c r="G645" t="s">
        <v>47</v>
      </c>
      <c r="H645" s="1">
        <v>17.361249999999998</v>
      </c>
      <c r="I645" s="6">
        <v>35</v>
      </c>
      <c r="J645" s="6">
        <v>35</v>
      </c>
      <c r="K645" s="6">
        <v>18.402925</v>
      </c>
      <c r="L645">
        <v>8</v>
      </c>
      <c r="M645">
        <v>0</v>
      </c>
      <c r="N645" t="b">
        <v>0</v>
      </c>
      <c r="O645" t="b">
        <v>0</v>
      </c>
      <c r="P645" t="b">
        <v>1</v>
      </c>
    </row>
    <row r="646" spans="1:16" x14ac:dyDescent="0.45">
      <c r="A646" t="s">
        <v>939</v>
      </c>
      <c r="B646" s="2">
        <v>3000097</v>
      </c>
      <c r="D646" t="s">
        <v>41</v>
      </c>
      <c r="F646" t="s">
        <v>42</v>
      </c>
      <c r="G646" t="s">
        <v>940</v>
      </c>
      <c r="H646" s="1">
        <v>47.983069999999998</v>
      </c>
      <c r="I646" s="6">
        <v>115.7407</v>
      </c>
      <c r="J646" s="6">
        <v>111.111111111</v>
      </c>
      <c r="K646" s="6">
        <v>50.862054200000003</v>
      </c>
      <c r="L646">
        <v>8</v>
      </c>
      <c r="M646">
        <v>10</v>
      </c>
      <c r="N646" t="b">
        <v>0</v>
      </c>
      <c r="O646" t="b">
        <v>0</v>
      </c>
      <c r="P646" t="b">
        <v>1</v>
      </c>
    </row>
    <row r="647" spans="1:16" x14ac:dyDescent="0.45">
      <c r="A647" t="s">
        <v>941</v>
      </c>
      <c r="B647" s="2">
        <v>1009092</v>
      </c>
      <c r="D647" t="s">
        <v>41</v>
      </c>
      <c r="F647" t="s">
        <v>42</v>
      </c>
      <c r="G647" t="s">
        <v>47</v>
      </c>
      <c r="H647" s="1">
        <v>59.319540000000003</v>
      </c>
      <c r="I647" s="6">
        <v>115.7407</v>
      </c>
      <c r="J647" s="6">
        <v>111.111111111</v>
      </c>
      <c r="K647" s="6">
        <v>62.878712399999998</v>
      </c>
      <c r="L647">
        <v>8</v>
      </c>
      <c r="M647">
        <v>20</v>
      </c>
      <c r="N647" t="b">
        <v>0</v>
      </c>
      <c r="O647" t="b">
        <v>0</v>
      </c>
      <c r="P647" t="b">
        <v>1</v>
      </c>
    </row>
    <row r="648" spans="1:16" x14ac:dyDescent="0.45">
      <c r="A648" t="s">
        <v>942</v>
      </c>
      <c r="B648" s="2">
        <v>6000129</v>
      </c>
      <c r="D648" t="s">
        <v>34</v>
      </c>
      <c r="F648" t="s">
        <v>51</v>
      </c>
      <c r="H648" s="1">
        <v>0.1157</v>
      </c>
      <c r="I648" s="6">
        <v>2</v>
      </c>
      <c r="J648" s="6">
        <v>2</v>
      </c>
      <c r="K648" s="6">
        <v>0.122642</v>
      </c>
      <c r="L648">
        <v>8</v>
      </c>
      <c r="M648">
        <v>0</v>
      </c>
      <c r="N648" t="b">
        <v>0</v>
      </c>
      <c r="O648" t="b">
        <v>0</v>
      </c>
      <c r="P648" t="b">
        <v>1</v>
      </c>
    </row>
    <row r="649" spans="1:16" x14ac:dyDescent="0.45">
      <c r="A649" t="s">
        <v>943</v>
      </c>
      <c r="B649" s="2">
        <v>3000063</v>
      </c>
      <c r="D649" t="s">
        <v>357</v>
      </c>
      <c r="F649" t="s">
        <v>42</v>
      </c>
      <c r="G649" t="s">
        <v>60</v>
      </c>
      <c r="H649" s="1">
        <v>152.77000000000001</v>
      </c>
      <c r="I649" s="6">
        <v>216</v>
      </c>
      <c r="J649" s="6">
        <v>216</v>
      </c>
      <c r="K649" s="6">
        <v>161.93620000000001</v>
      </c>
      <c r="L649">
        <v>8</v>
      </c>
      <c r="M649">
        <v>50</v>
      </c>
      <c r="N649" t="b">
        <v>0</v>
      </c>
      <c r="O649" t="b">
        <v>0</v>
      </c>
      <c r="P649" t="b">
        <v>1</v>
      </c>
    </row>
    <row r="650" spans="1:16" x14ac:dyDescent="0.45">
      <c r="A650" t="s">
        <v>944</v>
      </c>
      <c r="B650" s="2">
        <v>6000130</v>
      </c>
      <c r="C650" t="s">
        <v>33</v>
      </c>
      <c r="D650" t="s">
        <v>34</v>
      </c>
      <c r="E650" s="5" t="s">
        <v>33</v>
      </c>
      <c r="F650" t="s">
        <v>42</v>
      </c>
      <c r="G650" t="s">
        <v>60</v>
      </c>
      <c r="H650" s="1">
        <v>104.05</v>
      </c>
      <c r="I650" s="6">
        <v>152.77778000000001</v>
      </c>
      <c r="J650" s="6">
        <v>150</v>
      </c>
      <c r="K650" s="6">
        <v>110.29</v>
      </c>
      <c r="L650">
        <v>8</v>
      </c>
      <c r="M650">
        <v>0</v>
      </c>
      <c r="N650" t="b">
        <v>0</v>
      </c>
      <c r="O650" t="b">
        <v>0</v>
      </c>
      <c r="P650" t="b">
        <v>1</v>
      </c>
    </row>
    <row r="651" spans="1:16" x14ac:dyDescent="0.45">
      <c r="A651" t="s">
        <v>945</v>
      </c>
      <c r="B651" s="2">
        <v>6000179</v>
      </c>
      <c r="D651" t="s">
        <v>34</v>
      </c>
      <c r="F651" t="s">
        <v>51</v>
      </c>
      <c r="H651" s="1">
        <v>7.3</v>
      </c>
      <c r="I651" s="6">
        <v>16.2</v>
      </c>
      <c r="J651" s="6">
        <v>16.2</v>
      </c>
      <c r="K651" s="6">
        <v>7.7380000000000004</v>
      </c>
      <c r="L651">
        <v>8</v>
      </c>
      <c r="M651">
        <v>0</v>
      </c>
      <c r="N651" t="b">
        <v>0</v>
      </c>
      <c r="O651" t="b">
        <v>0</v>
      </c>
      <c r="P651" t="b">
        <v>1</v>
      </c>
    </row>
    <row r="652" spans="1:16" x14ac:dyDescent="0.45">
      <c r="A652" t="s">
        <v>946</v>
      </c>
      <c r="B652" s="2">
        <v>3003047</v>
      </c>
      <c r="D652" t="s">
        <v>416</v>
      </c>
      <c r="F652" t="s">
        <v>339</v>
      </c>
      <c r="G652" t="s">
        <v>154</v>
      </c>
      <c r="H652" s="1">
        <v>10.083</v>
      </c>
      <c r="I652" s="6">
        <v>11.46</v>
      </c>
      <c r="J652" s="6">
        <v>11.46</v>
      </c>
      <c r="K652" s="6">
        <v>10.68798</v>
      </c>
      <c r="L652">
        <v>8</v>
      </c>
      <c r="M652">
        <v>0</v>
      </c>
      <c r="N652" t="b">
        <v>0</v>
      </c>
      <c r="O652" t="b">
        <v>0</v>
      </c>
      <c r="P652" t="b">
        <v>1</v>
      </c>
    </row>
    <row r="653" spans="1:16" x14ac:dyDescent="0.45">
      <c r="A653" t="s">
        <v>947</v>
      </c>
      <c r="B653" s="2">
        <v>1014828</v>
      </c>
      <c r="D653" t="s">
        <v>170</v>
      </c>
      <c r="F653" t="s">
        <v>38</v>
      </c>
      <c r="G653" t="s">
        <v>317</v>
      </c>
      <c r="H653" s="1">
        <v>69.510000000000005</v>
      </c>
      <c r="I653" s="6">
        <v>97.2</v>
      </c>
      <c r="J653" s="6">
        <v>97.2</v>
      </c>
      <c r="K653" s="6">
        <v>73.680599999999998</v>
      </c>
      <c r="L653">
        <v>8</v>
      </c>
      <c r="M653">
        <v>0</v>
      </c>
      <c r="N653" t="b">
        <v>0</v>
      </c>
      <c r="O653" t="b">
        <v>0</v>
      </c>
      <c r="P653" t="b">
        <v>1</v>
      </c>
    </row>
    <row r="654" spans="1:16" x14ac:dyDescent="0.45">
      <c r="A654" t="s">
        <v>948</v>
      </c>
      <c r="B654" s="2">
        <v>6000131</v>
      </c>
      <c r="D654" t="s">
        <v>34</v>
      </c>
      <c r="F654" t="s">
        <v>42</v>
      </c>
      <c r="G654" t="s">
        <v>65</v>
      </c>
      <c r="H654" s="1">
        <v>50</v>
      </c>
      <c r="I654" s="6">
        <v>108</v>
      </c>
      <c r="J654" s="6">
        <v>108</v>
      </c>
      <c r="K654" s="6">
        <v>53</v>
      </c>
      <c r="L654">
        <v>8</v>
      </c>
      <c r="M654">
        <v>0</v>
      </c>
      <c r="N654" t="b">
        <v>0</v>
      </c>
      <c r="O654" t="b">
        <v>0</v>
      </c>
      <c r="P654" t="b">
        <v>1</v>
      </c>
    </row>
    <row r="655" spans="1:16" x14ac:dyDescent="0.45">
      <c r="A655" t="s">
        <v>949</v>
      </c>
      <c r="B655" s="2">
        <v>3000065</v>
      </c>
      <c r="D655" t="s">
        <v>67</v>
      </c>
      <c r="F655" t="s">
        <v>42</v>
      </c>
      <c r="G655" t="s">
        <v>60</v>
      </c>
      <c r="H655" s="1">
        <v>18.93993</v>
      </c>
      <c r="I655" s="6">
        <v>55.55556</v>
      </c>
      <c r="J655" s="6">
        <v>50</v>
      </c>
      <c r="K655" s="6">
        <v>20.076325799999999</v>
      </c>
      <c r="L655">
        <v>8</v>
      </c>
      <c r="M655">
        <v>50</v>
      </c>
      <c r="N655" t="b">
        <v>0</v>
      </c>
      <c r="O655" t="b">
        <v>0</v>
      </c>
      <c r="P655" t="b">
        <v>1</v>
      </c>
    </row>
    <row r="656" spans="1:16" x14ac:dyDescent="0.45">
      <c r="A656" t="s">
        <v>950</v>
      </c>
      <c r="B656" s="2">
        <v>6000197</v>
      </c>
      <c r="D656" t="s">
        <v>34</v>
      </c>
      <c r="F656" t="s">
        <v>42</v>
      </c>
      <c r="G656" t="s">
        <v>68</v>
      </c>
      <c r="H656" s="1">
        <v>35</v>
      </c>
      <c r="I656" s="6">
        <v>64.8</v>
      </c>
      <c r="J656" s="6">
        <v>64.8</v>
      </c>
      <c r="K656" s="6">
        <v>37.1</v>
      </c>
      <c r="L656">
        <v>8</v>
      </c>
      <c r="M656">
        <v>0</v>
      </c>
      <c r="N656" t="b">
        <v>0</v>
      </c>
      <c r="O656" t="b">
        <v>0</v>
      </c>
      <c r="P656" t="b">
        <v>1</v>
      </c>
    </row>
    <row r="657" spans="1:16" x14ac:dyDescent="0.45">
      <c r="A657" t="s">
        <v>951</v>
      </c>
      <c r="B657" s="2">
        <v>6000132</v>
      </c>
      <c r="D657" t="s">
        <v>34</v>
      </c>
      <c r="F657" t="s">
        <v>42</v>
      </c>
      <c r="H657" s="1">
        <v>2.3141699999999998</v>
      </c>
      <c r="I657" s="6">
        <v>5</v>
      </c>
      <c r="J657" s="6">
        <v>5</v>
      </c>
      <c r="K657" s="6">
        <v>2.4530202000000001</v>
      </c>
      <c r="L657">
        <v>0</v>
      </c>
      <c r="M657">
        <v>0</v>
      </c>
      <c r="N657" t="b">
        <v>0</v>
      </c>
      <c r="O657" t="b">
        <v>0</v>
      </c>
      <c r="P657" t="b">
        <v>1</v>
      </c>
    </row>
    <row r="658" spans="1:16" x14ac:dyDescent="0.45">
      <c r="A658" t="s">
        <v>952</v>
      </c>
      <c r="B658" s="2">
        <v>6000133</v>
      </c>
      <c r="D658" t="s">
        <v>34</v>
      </c>
      <c r="F658" t="s">
        <v>42</v>
      </c>
      <c r="G658" t="s">
        <v>65</v>
      </c>
      <c r="H658" s="1">
        <v>110</v>
      </c>
      <c r="I658" s="6">
        <v>194.4</v>
      </c>
      <c r="J658" s="6">
        <v>194.4</v>
      </c>
      <c r="K658" s="6">
        <v>116.6</v>
      </c>
      <c r="L658">
        <v>8</v>
      </c>
      <c r="M658">
        <v>0</v>
      </c>
      <c r="N658" t="b">
        <v>0</v>
      </c>
      <c r="O658" t="b">
        <v>0</v>
      </c>
      <c r="P658" t="b">
        <v>1</v>
      </c>
    </row>
    <row r="659" spans="1:16" x14ac:dyDescent="0.45">
      <c r="A659" t="s">
        <v>953</v>
      </c>
      <c r="B659" s="2">
        <v>3000438</v>
      </c>
      <c r="D659" t="s">
        <v>67</v>
      </c>
      <c r="F659" t="s">
        <v>38</v>
      </c>
      <c r="G659" t="s">
        <v>954</v>
      </c>
      <c r="H659" s="1">
        <v>53.332999999999998</v>
      </c>
      <c r="I659" s="6">
        <v>90</v>
      </c>
      <c r="J659" s="6">
        <v>90</v>
      </c>
      <c r="K659" s="6">
        <v>56.532980000000002</v>
      </c>
      <c r="L659">
        <v>8</v>
      </c>
      <c r="M659">
        <v>40</v>
      </c>
      <c r="N659" t="b">
        <v>0</v>
      </c>
      <c r="O659" t="b">
        <v>0</v>
      </c>
      <c r="P659" t="b">
        <v>1</v>
      </c>
    </row>
    <row r="660" spans="1:16" x14ac:dyDescent="0.45">
      <c r="A660" t="s">
        <v>955</v>
      </c>
      <c r="B660" s="2">
        <v>3000101</v>
      </c>
      <c r="D660" t="s">
        <v>67</v>
      </c>
      <c r="F660" t="s">
        <v>42</v>
      </c>
      <c r="G660" t="s">
        <v>956</v>
      </c>
      <c r="H660" s="1">
        <v>67.19</v>
      </c>
      <c r="I660" s="6">
        <v>145.80000000000001</v>
      </c>
      <c r="J660" s="6">
        <v>145.80000000000001</v>
      </c>
      <c r="K660" s="6">
        <v>71.221400000000003</v>
      </c>
      <c r="L660">
        <v>8</v>
      </c>
      <c r="M660">
        <v>20</v>
      </c>
      <c r="N660" t="b">
        <v>0</v>
      </c>
      <c r="O660" t="b">
        <v>0</v>
      </c>
      <c r="P660" t="b">
        <v>1</v>
      </c>
    </row>
    <row r="661" spans="1:16" x14ac:dyDescent="0.45">
      <c r="A661" t="s">
        <v>957</v>
      </c>
      <c r="B661" s="2">
        <v>3000734</v>
      </c>
      <c r="D661" t="s">
        <v>34</v>
      </c>
      <c r="F661" t="s">
        <v>35</v>
      </c>
      <c r="G661" t="s">
        <v>154</v>
      </c>
      <c r="H661" s="1">
        <v>11.7925</v>
      </c>
      <c r="I661" s="6">
        <v>11.46</v>
      </c>
      <c r="J661" s="6">
        <v>11.46</v>
      </c>
      <c r="K661" s="6">
        <v>12.50005</v>
      </c>
      <c r="L661">
        <v>8</v>
      </c>
      <c r="M661">
        <v>0</v>
      </c>
      <c r="N661" t="b">
        <v>0</v>
      </c>
      <c r="O661" t="b">
        <v>0</v>
      </c>
      <c r="P661" t="b">
        <v>1</v>
      </c>
    </row>
    <row r="662" spans="1:16" x14ac:dyDescent="0.45">
      <c r="A662" t="s">
        <v>958</v>
      </c>
      <c r="B662" s="2">
        <v>364</v>
      </c>
      <c r="D662" t="s">
        <v>416</v>
      </c>
      <c r="F662" t="s">
        <v>339</v>
      </c>
      <c r="G662" t="s">
        <v>497</v>
      </c>
      <c r="H662" s="1">
        <v>7.5</v>
      </c>
      <c r="I662" s="6">
        <v>12.96</v>
      </c>
      <c r="J662" s="6">
        <v>12.96</v>
      </c>
      <c r="K662" s="6">
        <v>7.95</v>
      </c>
      <c r="L662">
        <v>8</v>
      </c>
      <c r="M662">
        <v>0</v>
      </c>
      <c r="N662" t="b">
        <v>0</v>
      </c>
      <c r="O662" t="b">
        <v>0</v>
      </c>
      <c r="P662" t="b">
        <v>1</v>
      </c>
    </row>
    <row r="663" spans="1:16" x14ac:dyDescent="0.45">
      <c r="A663" t="s">
        <v>959</v>
      </c>
      <c r="B663" s="2">
        <v>6000134</v>
      </c>
      <c r="D663" t="s">
        <v>34</v>
      </c>
      <c r="F663" t="s">
        <v>42</v>
      </c>
      <c r="G663" t="s">
        <v>60</v>
      </c>
      <c r="H663" s="1">
        <v>120</v>
      </c>
      <c r="I663" s="6">
        <v>203.7037</v>
      </c>
      <c r="J663" s="6">
        <v>200</v>
      </c>
      <c r="K663" s="6">
        <v>127.2</v>
      </c>
      <c r="L663">
        <v>8</v>
      </c>
      <c r="M663">
        <v>0</v>
      </c>
      <c r="N663" t="b">
        <v>0</v>
      </c>
      <c r="O663" t="b">
        <v>0</v>
      </c>
      <c r="P663" t="b">
        <v>1</v>
      </c>
    </row>
    <row r="664" spans="1:16" x14ac:dyDescent="0.45">
      <c r="A664" t="s">
        <v>960</v>
      </c>
      <c r="B664" s="2">
        <v>1008312</v>
      </c>
      <c r="D664" t="s">
        <v>357</v>
      </c>
      <c r="F664" t="s">
        <v>42</v>
      </c>
      <c r="G664" t="s">
        <v>60</v>
      </c>
      <c r="H664" s="1">
        <v>73.56</v>
      </c>
      <c r="I664" s="6">
        <v>152.77778000000001</v>
      </c>
      <c r="J664" s="6">
        <v>150</v>
      </c>
      <c r="K664" s="6">
        <v>77.973600000000005</v>
      </c>
      <c r="L664">
        <v>8</v>
      </c>
      <c r="M664">
        <v>20</v>
      </c>
      <c r="N664" t="b">
        <v>0</v>
      </c>
      <c r="O664" t="b">
        <v>0</v>
      </c>
      <c r="P664" t="b">
        <v>1</v>
      </c>
    </row>
    <row r="665" spans="1:16" x14ac:dyDescent="0.45">
      <c r="A665" t="s">
        <v>961</v>
      </c>
      <c r="B665" s="2">
        <v>90</v>
      </c>
      <c r="D665" t="s">
        <v>357</v>
      </c>
      <c r="F665" t="s">
        <v>42</v>
      </c>
      <c r="G665" t="s">
        <v>60</v>
      </c>
      <c r="H665" s="1">
        <v>61.27</v>
      </c>
      <c r="I665" s="6">
        <v>152.77778000000001</v>
      </c>
      <c r="J665" s="6">
        <v>150</v>
      </c>
      <c r="K665" s="6">
        <v>64.946200000000005</v>
      </c>
      <c r="L665">
        <v>8</v>
      </c>
      <c r="M665">
        <v>50</v>
      </c>
      <c r="N665" t="b">
        <v>0</v>
      </c>
      <c r="O665" t="b">
        <v>0</v>
      </c>
      <c r="P665" t="b">
        <v>1</v>
      </c>
    </row>
    <row r="666" spans="1:16" x14ac:dyDescent="0.45">
      <c r="A666" t="s">
        <v>962</v>
      </c>
      <c r="B666" s="2">
        <v>6000172</v>
      </c>
      <c r="D666" t="s">
        <v>34</v>
      </c>
      <c r="F666" t="s">
        <v>38</v>
      </c>
      <c r="G666" t="s">
        <v>47</v>
      </c>
      <c r="H666" s="1">
        <v>141.16999999999999</v>
      </c>
      <c r="I666" s="6">
        <v>216</v>
      </c>
      <c r="J666" s="6">
        <v>216</v>
      </c>
      <c r="K666" s="6">
        <v>149.64019999999999</v>
      </c>
      <c r="L666">
        <v>8</v>
      </c>
      <c r="M666">
        <v>0</v>
      </c>
      <c r="N666" t="b">
        <v>0</v>
      </c>
      <c r="O666" t="b">
        <v>0</v>
      </c>
      <c r="P666" t="b">
        <v>1</v>
      </c>
    </row>
    <row r="667" spans="1:16" x14ac:dyDescent="0.45">
      <c r="A667" t="s">
        <v>963</v>
      </c>
      <c r="B667" s="2">
        <v>3000067</v>
      </c>
      <c r="D667" t="s">
        <v>41</v>
      </c>
      <c r="F667" t="s">
        <v>38</v>
      </c>
      <c r="G667" t="s">
        <v>150</v>
      </c>
      <c r="H667" s="1">
        <v>40</v>
      </c>
      <c r="I667" s="6">
        <v>75.599999999999994</v>
      </c>
      <c r="J667" s="6">
        <v>75.599999999999994</v>
      </c>
      <c r="K667" s="6">
        <v>42.4</v>
      </c>
      <c r="L667">
        <v>8</v>
      </c>
      <c r="M667">
        <v>0</v>
      </c>
      <c r="N667" t="b">
        <v>0</v>
      </c>
      <c r="O667" t="b">
        <v>0</v>
      </c>
      <c r="P667" t="b">
        <v>1</v>
      </c>
    </row>
    <row r="668" spans="1:16" x14ac:dyDescent="0.45">
      <c r="A668" t="s">
        <v>964</v>
      </c>
      <c r="B668" s="2">
        <v>198</v>
      </c>
      <c r="D668" t="s">
        <v>67</v>
      </c>
      <c r="F668" t="s">
        <v>42</v>
      </c>
      <c r="G668" t="s">
        <v>965</v>
      </c>
      <c r="H668" s="1">
        <v>23.98</v>
      </c>
      <c r="I668" s="6">
        <v>64.8</v>
      </c>
      <c r="J668" s="6">
        <v>64.8</v>
      </c>
      <c r="K668" s="6">
        <v>25.418800000000001</v>
      </c>
      <c r="L668">
        <v>8</v>
      </c>
      <c r="M668">
        <v>0</v>
      </c>
      <c r="N668" t="b">
        <v>0</v>
      </c>
      <c r="O668" t="b">
        <v>0</v>
      </c>
      <c r="P668" t="b">
        <v>1</v>
      </c>
    </row>
    <row r="669" spans="1:16" x14ac:dyDescent="0.45">
      <c r="A669" t="s">
        <v>966</v>
      </c>
      <c r="B669" s="2">
        <v>6000135</v>
      </c>
      <c r="D669" t="s">
        <v>34</v>
      </c>
      <c r="F669" t="s">
        <v>42</v>
      </c>
      <c r="G669" t="s">
        <v>65</v>
      </c>
      <c r="H669" s="1">
        <v>152</v>
      </c>
      <c r="I669" s="6">
        <v>210</v>
      </c>
      <c r="J669" s="6">
        <v>210</v>
      </c>
      <c r="K669" s="6">
        <v>161.12</v>
      </c>
      <c r="L669">
        <v>0</v>
      </c>
      <c r="M669">
        <v>0</v>
      </c>
      <c r="N669" t="b">
        <v>0</v>
      </c>
      <c r="O669" t="b">
        <v>0</v>
      </c>
      <c r="P669" t="b">
        <v>1</v>
      </c>
    </row>
    <row r="670" spans="1:16" x14ac:dyDescent="0.45">
      <c r="A670" t="s">
        <v>967</v>
      </c>
      <c r="B670" s="2">
        <v>6000136</v>
      </c>
      <c r="D670" t="s">
        <v>34</v>
      </c>
      <c r="F670" t="s">
        <v>42</v>
      </c>
      <c r="G670" t="s">
        <v>65</v>
      </c>
      <c r="H670" s="1">
        <v>5</v>
      </c>
      <c r="I670" s="6">
        <v>6</v>
      </c>
      <c r="J670" s="6">
        <v>6</v>
      </c>
      <c r="K670" s="6">
        <v>5.3</v>
      </c>
      <c r="L670">
        <v>0</v>
      </c>
      <c r="M670">
        <v>0</v>
      </c>
      <c r="N670" t="b">
        <v>0</v>
      </c>
      <c r="O670" t="b">
        <v>0</v>
      </c>
      <c r="P670" t="b">
        <v>1</v>
      </c>
    </row>
    <row r="671" spans="1:16" x14ac:dyDescent="0.45">
      <c r="A671" t="s">
        <v>968</v>
      </c>
      <c r="B671" s="2">
        <v>1009797</v>
      </c>
      <c r="D671" t="s">
        <v>41</v>
      </c>
      <c r="F671" t="s">
        <v>38</v>
      </c>
      <c r="G671" t="s">
        <v>559</v>
      </c>
      <c r="H671" s="1">
        <v>31.29</v>
      </c>
      <c r="I671" s="6">
        <v>61.25</v>
      </c>
      <c r="J671" s="6">
        <v>61.25</v>
      </c>
      <c r="K671" s="6">
        <v>33.167400000000001</v>
      </c>
      <c r="L671">
        <v>8</v>
      </c>
      <c r="M671">
        <v>0</v>
      </c>
      <c r="N671" t="b">
        <v>0</v>
      </c>
      <c r="O671" t="b">
        <v>0</v>
      </c>
      <c r="P671" t="b">
        <v>1</v>
      </c>
    </row>
    <row r="672" spans="1:16" x14ac:dyDescent="0.45">
      <c r="A672" t="s">
        <v>969</v>
      </c>
      <c r="B672" s="2">
        <v>402</v>
      </c>
      <c r="D672" t="s">
        <v>41</v>
      </c>
      <c r="F672" t="s">
        <v>51</v>
      </c>
      <c r="G672" t="s">
        <v>970</v>
      </c>
      <c r="H672" s="1">
        <v>30.073</v>
      </c>
      <c r="I672" s="6">
        <v>48.6</v>
      </c>
      <c r="J672" s="6">
        <v>48.6</v>
      </c>
      <c r="K672" s="6">
        <v>31.877379999999999</v>
      </c>
      <c r="L672">
        <v>8</v>
      </c>
      <c r="M672">
        <v>0</v>
      </c>
      <c r="N672" t="b">
        <v>0</v>
      </c>
      <c r="O672" t="b">
        <v>0</v>
      </c>
      <c r="P672" t="b">
        <v>1</v>
      </c>
    </row>
    <row r="673" spans="1:16" x14ac:dyDescent="0.45">
      <c r="A673" t="s">
        <v>971</v>
      </c>
      <c r="B673" s="2">
        <v>1006844</v>
      </c>
      <c r="D673" t="s">
        <v>41</v>
      </c>
      <c r="F673" t="s">
        <v>42</v>
      </c>
      <c r="G673" t="s">
        <v>872</v>
      </c>
      <c r="H673" s="1">
        <v>42.21</v>
      </c>
      <c r="I673" s="6">
        <v>78.7</v>
      </c>
      <c r="J673" s="6">
        <v>78.7</v>
      </c>
      <c r="K673" s="6">
        <v>44.742600000000003</v>
      </c>
      <c r="L673">
        <v>0</v>
      </c>
      <c r="M673">
        <v>0</v>
      </c>
      <c r="N673" t="b">
        <v>0</v>
      </c>
      <c r="O673" t="b">
        <v>0</v>
      </c>
      <c r="P673" t="b">
        <v>1</v>
      </c>
    </row>
    <row r="674" spans="1:16" x14ac:dyDescent="0.45">
      <c r="A674" t="s">
        <v>972</v>
      </c>
      <c r="B674" s="2" t="s">
        <v>973</v>
      </c>
      <c r="C674" t="s">
        <v>33</v>
      </c>
      <c r="D674" t="s">
        <v>574</v>
      </c>
      <c r="E674" s="5" t="s">
        <v>33</v>
      </c>
      <c r="F674" t="s">
        <v>38</v>
      </c>
      <c r="G674" t="s">
        <v>47</v>
      </c>
      <c r="H674" s="1">
        <v>42.21</v>
      </c>
      <c r="I674" s="6">
        <v>100</v>
      </c>
      <c r="J674" s="6">
        <v>95</v>
      </c>
      <c r="K674" s="6">
        <v>100</v>
      </c>
      <c r="L674">
        <v>8</v>
      </c>
      <c r="M674">
        <v>18</v>
      </c>
      <c r="N674" t="b">
        <v>1</v>
      </c>
      <c r="O674" t="b">
        <v>1</v>
      </c>
      <c r="P674" t="b">
        <v>1</v>
      </c>
    </row>
    <row r="675" spans="1:16" x14ac:dyDescent="0.45">
      <c r="A675" t="s">
        <v>974</v>
      </c>
      <c r="B675" s="2">
        <v>6000198</v>
      </c>
      <c r="D675" t="s">
        <v>34</v>
      </c>
      <c r="F675" t="s">
        <v>42</v>
      </c>
      <c r="G675" t="s">
        <v>47</v>
      </c>
      <c r="H675" s="1">
        <v>55</v>
      </c>
      <c r="I675" s="6">
        <v>54</v>
      </c>
      <c r="J675" s="6">
        <v>54</v>
      </c>
      <c r="K675" s="6">
        <v>58.3</v>
      </c>
      <c r="L675">
        <v>8</v>
      </c>
      <c r="M675">
        <v>0</v>
      </c>
      <c r="N675" t="b">
        <v>0</v>
      </c>
      <c r="O675" t="b">
        <v>0</v>
      </c>
      <c r="P675" t="b">
        <v>1</v>
      </c>
    </row>
    <row r="676" spans="1:16" x14ac:dyDescent="0.45">
      <c r="A676" t="s">
        <v>975</v>
      </c>
      <c r="B676" s="2">
        <v>3000501</v>
      </c>
      <c r="D676" t="s">
        <v>41</v>
      </c>
      <c r="F676" t="s">
        <v>38</v>
      </c>
      <c r="G676" t="s">
        <v>345</v>
      </c>
      <c r="H676" s="1">
        <v>35.5</v>
      </c>
      <c r="I676" s="6">
        <v>25</v>
      </c>
      <c r="J676" s="6">
        <v>25</v>
      </c>
      <c r="K676" s="6">
        <v>37.630000000000003</v>
      </c>
      <c r="L676">
        <v>8</v>
      </c>
      <c r="M676">
        <v>0</v>
      </c>
      <c r="N676" t="b">
        <v>0</v>
      </c>
      <c r="O676" t="b">
        <v>0</v>
      </c>
      <c r="P676" t="b">
        <v>1</v>
      </c>
    </row>
    <row r="677" spans="1:16" x14ac:dyDescent="0.45">
      <c r="A677" t="s">
        <v>976</v>
      </c>
      <c r="B677" s="2">
        <v>6000173</v>
      </c>
      <c r="D677" t="s">
        <v>34</v>
      </c>
      <c r="F677" t="s">
        <v>171</v>
      </c>
      <c r="G677" t="s">
        <v>977</v>
      </c>
      <c r="H677" s="1">
        <v>268.52</v>
      </c>
      <c r="I677" s="6">
        <v>378</v>
      </c>
      <c r="J677" s="6">
        <v>378</v>
      </c>
      <c r="K677" s="6">
        <v>284.63119999999998</v>
      </c>
      <c r="L677">
        <v>8</v>
      </c>
      <c r="M677">
        <v>0</v>
      </c>
      <c r="N677" t="b">
        <v>0</v>
      </c>
      <c r="O677" t="b">
        <v>0</v>
      </c>
      <c r="P677" t="b">
        <v>1</v>
      </c>
    </row>
    <row r="678" spans="1:16" x14ac:dyDescent="0.45">
      <c r="A678" t="s">
        <v>978</v>
      </c>
      <c r="B678" s="2">
        <v>1101135</v>
      </c>
      <c r="D678" t="s">
        <v>41</v>
      </c>
      <c r="E678" s="5" t="s">
        <v>1077</v>
      </c>
      <c r="F678" t="s">
        <v>159</v>
      </c>
      <c r="G678" t="s">
        <v>752</v>
      </c>
      <c r="H678" s="1">
        <v>249.70545000000001</v>
      </c>
      <c r="I678" s="6">
        <v>481.48149999999998</v>
      </c>
      <c r="J678" s="6">
        <v>462.96</v>
      </c>
      <c r="K678" s="6">
        <v>264.68777699999998</v>
      </c>
      <c r="L678">
        <v>8</v>
      </c>
      <c r="M678">
        <v>10</v>
      </c>
      <c r="N678" t="b">
        <v>0</v>
      </c>
      <c r="O678" t="b">
        <v>0</v>
      </c>
      <c r="P678" t="b">
        <v>1</v>
      </c>
    </row>
    <row r="679" spans="1:16" x14ac:dyDescent="0.45">
      <c r="A679" t="s">
        <v>979</v>
      </c>
      <c r="B679" s="2">
        <v>191</v>
      </c>
      <c r="D679" t="s">
        <v>41</v>
      </c>
      <c r="F679" t="s">
        <v>159</v>
      </c>
      <c r="G679" t="s">
        <v>72</v>
      </c>
      <c r="H679" s="1">
        <v>29.22</v>
      </c>
      <c r="I679" s="6">
        <v>44.28</v>
      </c>
      <c r="J679" s="6">
        <v>44.28</v>
      </c>
      <c r="K679" s="6">
        <v>30.973199999999999</v>
      </c>
      <c r="L679">
        <v>8</v>
      </c>
      <c r="M679">
        <v>0</v>
      </c>
      <c r="N679" t="b">
        <v>0</v>
      </c>
      <c r="O679" t="b">
        <v>0</v>
      </c>
      <c r="P679" t="b">
        <v>1</v>
      </c>
    </row>
    <row r="680" spans="1:16" x14ac:dyDescent="0.45">
      <c r="A680" t="s">
        <v>980</v>
      </c>
      <c r="B680" s="2">
        <v>3003507</v>
      </c>
      <c r="D680" t="s">
        <v>41</v>
      </c>
      <c r="F680" t="s">
        <v>38</v>
      </c>
      <c r="G680" t="s">
        <v>47</v>
      </c>
      <c r="H680" s="1">
        <v>45.701000000000001</v>
      </c>
      <c r="I680" s="6">
        <v>100</v>
      </c>
      <c r="J680" s="6">
        <v>100</v>
      </c>
      <c r="K680" s="6">
        <v>48.443060000000003</v>
      </c>
      <c r="L680">
        <v>8</v>
      </c>
      <c r="M680">
        <v>0</v>
      </c>
      <c r="N680" t="b">
        <v>0</v>
      </c>
      <c r="O680" t="b">
        <v>0</v>
      </c>
      <c r="P680" t="b">
        <v>1</v>
      </c>
    </row>
    <row r="681" spans="1:16" x14ac:dyDescent="0.45">
      <c r="A681" t="s">
        <v>981</v>
      </c>
      <c r="B681" s="2">
        <v>1008011</v>
      </c>
      <c r="D681" t="s">
        <v>67</v>
      </c>
      <c r="F681" t="s">
        <v>42</v>
      </c>
      <c r="G681" t="s">
        <v>60</v>
      </c>
      <c r="H681" s="1">
        <v>18.75121</v>
      </c>
      <c r="I681" s="6">
        <v>55.55556</v>
      </c>
      <c r="J681" s="6">
        <v>50</v>
      </c>
      <c r="K681" s="6">
        <v>19.8762826</v>
      </c>
      <c r="L681">
        <v>8</v>
      </c>
      <c r="M681">
        <v>50</v>
      </c>
      <c r="N681" t="b">
        <v>0</v>
      </c>
      <c r="O681" t="b">
        <v>0</v>
      </c>
      <c r="P681" t="b">
        <v>1</v>
      </c>
    </row>
    <row r="682" spans="1:16" x14ac:dyDescent="0.45">
      <c r="A682" t="s">
        <v>982</v>
      </c>
      <c r="B682" s="2">
        <v>1101165</v>
      </c>
      <c r="D682" t="s">
        <v>41</v>
      </c>
      <c r="F682" t="s">
        <v>35</v>
      </c>
      <c r="G682" t="s">
        <v>449</v>
      </c>
      <c r="H682" s="1">
        <v>65</v>
      </c>
      <c r="I682" s="6">
        <v>134.2593</v>
      </c>
      <c r="J682" s="6">
        <v>131.16999999999999</v>
      </c>
      <c r="K682" s="6">
        <v>68.900000000000006</v>
      </c>
      <c r="L682">
        <v>8</v>
      </c>
      <c r="M682">
        <v>60</v>
      </c>
      <c r="N682" t="b">
        <v>0</v>
      </c>
      <c r="O682" t="b">
        <v>0</v>
      </c>
      <c r="P682" t="b">
        <v>1</v>
      </c>
    </row>
    <row r="683" spans="1:16" x14ac:dyDescent="0.45">
      <c r="A683" t="s">
        <v>983</v>
      </c>
      <c r="B683" s="2">
        <v>3000072</v>
      </c>
      <c r="D683" t="s">
        <v>41</v>
      </c>
      <c r="F683" t="s">
        <v>35</v>
      </c>
      <c r="G683" t="s">
        <v>47</v>
      </c>
      <c r="H683" s="1">
        <v>9.3492200000000008</v>
      </c>
      <c r="I683" s="6">
        <v>18.518519999999999</v>
      </c>
      <c r="J683" s="6">
        <v>17.361111099999999</v>
      </c>
      <c r="K683" s="6">
        <v>9.9101731999999991</v>
      </c>
      <c r="L683">
        <v>8</v>
      </c>
      <c r="M683">
        <v>120</v>
      </c>
      <c r="N683" t="b">
        <v>0</v>
      </c>
      <c r="O683" t="b">
        <v>0</v>
      </c>
      <c r="P683" t="b">
        <v>1</v>
      </c>
    </row>
    <row r="684" spans="1:16" x14ac:dyDescent="0.45">
      <c r="A684" t="s">
        <v>984</v>
      </c>
      <c r="B684" s="2">
        <v>6000137</v>
      </c>
      <c r="D684" t="s">
        <v>34</v>
      </c>
      <c r="F684" t="s">
        <v>42</v>
      </c>
      <c r="G684" t="s">
        <v>65</v>
      </c>
      <c r="H684" s="1">
        <v>70</v>
      </c>
      <c r="I684" s="6">
        <v>86.4</v>
      </c>
      <c r="J684" s="6">
        <v>86.4</v>
      </c>
      <c r="K684" s="6">
        <v>74.2</v>
      </c>
      <c r="L684">
        <v>8</v>
      </c>
      <c r="M684">
        <v>0</v>
      </c>
      <c r="N684" t="b">
        <v>0</v>
      </c>
      <c r="O684" t="b">
        <v>0</v>
      </c>
      <c r="P684" t="b">
        <v>1</v>
      </c>
    </row>
    <row r="685" spans="1:16" x14ac:dyDescent="0.45">
      <c r="A685" t="s">
        <v>985</v>
      </c>
      <c r="B685" s="2">
        <v>394</v>
      </c>
      <c r="D685" t="s">
        <v>67</v>
      </c>
      <c r="F685" t="s">
        <v>42</v>
      </c>
      <c r="G685" t="s">
        <v>986</v>
      </c>
      <c r="H685" s="1">
        <v>111.42238999999999</v>
      </c>
      <c r="I685" s="6">
        <v>165.19</v>
      </c>
      <c r="J685" s="6">
        <v>165.19</v>
      </c>
      <c r="K685" s="6">
        <v>118.1077334</v>
      </c>
      <c r="L685">
        <v>8</v>
      </c>
      <c r="M685">
        <v>20</v>
      </c>
      <c r="N685" t="b">
        <v>0</v>
      </c>
      <c r="O685" t="b">
        <v>0</v>
      </c>
      <c r="P685" t="b">
        <v>1</v>
      </c>
    </row>
    <row r="686" spans="1:16" x14ac:dyDescent="0.45">
      <c r="A686" t="s">
        <v>987</v>
      </c>
      <c r="B686" s="2">
        <v>6000138</v>
      </c>
      <c r="D686" t="s">
        <v>34</v>
      </c>
      <c r="F686" t="s">
        <v>159</v>
      </c>
      <c r="G686" t="s">
        <v>988</v>
      </c>
      <c r="H686" s="1">
        <v>24.112649999999999</v>
      </c>
      <c r="I686" s="6">
        <v>60.185189999999999</v>
      </c>
      <c r="J686" s="6">
        <v>57.870370370000003</v>
      </c>
      <c r="K686" s="6">
        <v>25.559408999999999</v>
      </c>
      <c r="L686">
        <v>8</v>
      </c>
      <c r="M686">
        <v>0</v>
      </c>
      <c r="N686" t="b">
        <v>0</v>
      </c>
      <c r="O686" t="b">
        <v>0</v>
      </c>
      <c r="P686" t="b">
        <v>1</v>
      </c>
    </row>
    <row r="687" spans="1:16" x14ac:dyDescent="0.45">
      <c r="A687" t="s">
        <v>989</v>
      </c>
      <c r="B687" s="2">
        <v>6000139</v>
      </c>
      <c r="D687" t="s">
        <v>34</v>
      </c>
      <c r="F687" t="s">
        <v>159</v>
      </c>
      <c r="G687" t="s">
        <v>990</v>
      </c>
      <c r="H687" s="1">
        <v>37.5</v>
      </c>
      <c r="I687" s="6">
        <v>70</v>
      </c>
      <c r="J687" s="6">
        <v>70</v>
      </c>
      <c r="K687" s="6">
        <v>39.75</v>
      </c>
      <c r="L687">
        <v>8</v>
      </c>
      <c r="M687">
        <v>0</v>
      </c>
      <c r="N687" t="b">
        <v>0</v>
      </c>
      <c r="O687" t="b">
        <v>0</v>
      </c>
      <c r="P687" t="b">
        <v>1</v>
      </c>
    </row>
    <row r="688" spans="1:16" x14ac:dyDescent="0.45">
      <c r="A688" t="s">
        <v>991</v>
      </c>
      <c r="B688" s="2">
        <v>3003007</v>
      </c>
      <c r="D688" t="s">
        <v>41</v>
      </c>
      <c r="F688" t="s">
        <v>159</v>
      </c>
      <c r="G688" t="s">
        <v>436</v>
      </c>
      <c r="H688" s="1">
        <v>39.991999999999997</v>
      </c>
      <c r="I688" s="6">
        <v>59.58</v>
      </c>
      <c r="J688" s="6">
        <v>59.58</v>
      </c>
      <c r="K688" s="6">
        <v>42.39152</v>
      </c>
      <c r="L688">
        <v>8</v>
      </c>
      <c r="M688">
        <v>0</v>
      </c>
      <c r="N688" t="b">
        <v>0</v>
      </c>
      <c r="O688" t="b">
        <v>0</v>
      </c>
      <c r="P688" t="b">
        <v>1</v>
      </c>
    </row>
    <row r="689" spans="1:16" x14ac:dyDescent="0.45">
      <c r="A689" t="s">
        <v>992</v>
      </c>
      <c r="B689" s="2">
        <v>6000140</v>
      </c>
      <c r="D689" t="s">
        <v>34</v>
      </c>
      <c r="F689" t="s">
        <v>159</v>
      </c>
      <c r="G689" t="s">
        <v>993</v>
      </c>
      <c r="H689" s="1">
        <v>27.288170000000001</v>
      </c>
      <c r="I689" s="6">
        <v>40</v>
      </c>
      <c r="J689" s="6">
        <v>40</v>
      </c>
      <c r="K689" s="6">
        <v>28.9254602</v>
      </c>
      <c r="L689">
        <v>8</v>
      </c>
      <c r="M689">
        <v>0</v>
      </c>
      <c r="N689" t="b">
        <v>0</v>
      </c>
      <c r="O689" t="b">
        <v>0</v>
      </c>
      <c r="P689" t="b">
        <v>1</v>
      </c>
    </row>
    <row r="690" spans="1:16" x14ac:dyDescent="0.45">
      <c r="A690" t="s">
        <v>994</v>
      </c>
      <c r="B690" s="2">
        <v>6000141</v>
      </c>
      <c r="D690" t="s">
        <v>34</v>
      </c>
      <c r="F690" t="s">
        <v>51</v>
      </c>
      <c r="H690" s="1">
        <v>300.92667</v>
      </c>
      <c r="I690" s="6">
        <v>350</v>
      </c>
      <c r="J690" s="6">
        <v>350</v>
      </c>
      <c r="K690" s="6">
        <v>318.98227020000002</v>
      </c>
      <c r="L690">
        <v>0</v>
      </c>
      <c r="M690">
        <v>0</v>
      </c>
      <c r="N690" t="b">
        <v>0</v>
      </c>
      <c r="O690" t="b">
        <v>0</v>
      </c>
      <c r="P690" t="b">
        <v>1</v>
      </c>
    </row>
    <row r="691" spans="1:16" x14ac:dyDescent="0.45">
      <c r="A691" t="s">
        <v>995</v>
      </c>
      <c r="B691" s="2">
        <v>6000174</v>
      </c>
      <c r="D691" t="s">
        <v>34</v>
      </c>
      <c r="F691" t="s">
        <v>35</v>
      </c>
      <c r="G691" t="s">
        <v>996</v>
      </c>
      <c r="H691" s="1">
        <v>400</v>
      </c>
      <c r="I691" s="6">
        <v>594</v>
      </c>
      <c r="J691" s="6">
        <v>594</v>
      </c>
      <c r="K691" s="6">
        <v>424</v>
      </c>
      <c r="L691">
        <v>8</v>
      </c>
      <c r="M691">
        <v>0</v>
      </c>
      <c r="N691" t="b">
        <v>0</v>
      </c>
      <c r="O691" t="b">
        <v>0</v>
      </c>
      <c r="P691" t="b">
        <v>1</v>
      </c>
    </row>
    <row r="692" spans="1:16" x14ac:dyDescent="0.45">
      <c r="A692" t="s">
        <v>997</v>
      </c>
      <c r="B692" s="2">
        <v>6000196</v>
      </c>
      <c r="D692" t="s">
        <v>34</v>
      </c>
      <c r="F692" t="s">
        <v>51</v>
      </c>
      <c r="G692" t="s">
        <v>998</v>
      </c>
      <c r="H692" s="1">
        <v>129.63</v>
      </c>
      <c r="I692" s="6">
        <v>194.4</v>
      </c>
      <c r="J692" s="6">
        <v>194.4</v>
      </c>
      <c r="K692" s="6">
        <v>137.40780000000001</v>
      </c>
      <c r="L692">
        <v>8</v>
      </c>
      <c r="M692">
        <v>0</v>
      </c>
      <c r="N692" t="b">
        <v>0</v>
      </c>
      <c r="O692" t="b">
        <v>0</v>
      </c>
      <c r="P692" t="b">
        <v>1</v>
      </c>
    </row>
    <row r="693" spans="1:16" x14ac:dyDescent="0.45">
      <c r="A693" t="s">
        <v>999</v>
      </c>
      <c r="B693" s="2">
        <v>1009833</v>
      </c>
      <c r="D693" t="s">
        <v>41</v>
      </c>
      <c r="F693" t="s">
        <v>38</v>
      </c>
      <c r="G693" t="s">
        <v>355</v>
      </c>
      <c r="H693" s="1">
        <v>22.37</v>
      </c>
      <c r="I693" s="6">
        <v>46.296300000000002</v>
      </c>
      <c r="J693" s="6">
        <v>41.67</v>
      </c>
      <c r="K693" s="6">
        <v>23.712199999999999</v>
      </c>
      <c r="L693">
        <v>8</v>
      </c>
      <c r="M693">
        <v>20</v>
      </c>
      <c r="N693" t="b">
        <v>0</v>
      </c>
      <c r="O693" t="b">
        <v>0</v>
      </c>
      <c r="P693" t="b">
        <v>1</v>
      </c>
    </row>
    <row r="694" spans="1:16" x14ac:dyDescent="0.45">
      <c r="A694" t="s">
        <v>1000</v>
      </c>
      <c r="B694" s="2">
        <v>3000099</v>
      </c>
      <c r="D694" t="s">
        <v>41</v>
      </c>
      <c r="F694" t="s">
        <v>159</v>
      </c>
      <c r="G694" t="s">
        <v>519</v>
      </c>
      <c r="H694" s="1">
        <v>35.250410000000002</v>
      </c>
      <c r="I694" s="6">
        <v>65</v>
      </c>
      <c r="J694" s="6">
        <v>65</v>
      </c>
      <c r="K694" s="6">
        <v>37.3654346</v>
      </c>
      <c r="L694">
        <v>8</v>
      </c>
      <c r="M694">
        <v>0</v>
      </c>
      <c r="N694" t="b">
        <v>0</v>
      </c>
      <c r="O694" t="b">
        <v>0</v>
      </c>
      <c r="P694" t="b">
        <v>1</v>
      </c>
    </row>
    <row r="695" spans="1:16" x14ac:dyDescent="0.45">
      <c r="A695" t="s">
        <v>1001</v>
      </c>
      <c r="B695" s="2">
        <v>999</v>
      </c>
      <c r="D695" t="s">
        <v>357</v>
      </c>
      <c r="F695" t="s">
        <v>42</v>
      </c>
      <c r="G695" t="s">
        <v>47</v>
      </c>
      <c r="H695" s="1">
        <v>151.44999999999999</v>
      </c>
      <c r="I695" s="6">
        <v>254.72</v>
      </c>
      <c r="J695" s="6">
        <v>254.72</v>
      </c>
      <c r="K695" s="6">
        <v>160.53700000000001</v>
      </c>
      <c r="L695">
        <v>8</v>
      </c>
      <c r="M695">
        <v>0</v>
      </c>
      <c r="N695" t="b">
        <v>0</v>
      </c>
      <c r="O695" t="b">
        <v>0</v>
      </c>
      <c r="P695" t="b">
        <v>1</v>
      </c>
    </row>
    <row r="696" spans="1:16" x14ac:dyDescent="0.45">
      <c r="A696" t="s">
        <v>1002</v>
      </c>
      <c r="B696" s="2">
        <v>328</v>
      </c>
      <c r="D696" t="s">
        <v>357</v>
      </c>
      <c r="F696" t="s">
        <v>42</v>
      </c>
      <c r="G696" t="s">
        <v>47</v>
      </c>
      <c r="H696" s="1">
        <v>101.25</v>
      </c>
      <c r="I696" s="6">
        <v>178.2</v>
      </c>
      <c r="J696" s="6">
        <v>178.2</v>
      </c>
      <c r="K696" s="6">
        <v>107.325</v>
      </c>
      <c r="L696">
        <v>8</v>
      </c>
      <c r="M696">
        <v>0</v>
      </c>
      <c r="N696" t="b">
        <v>0</v>
      </c>
      <c r="O696" t="b">
        <v>0</v>
      </c>
      <c r="P696" t="b">
        <v>1</v>
      </c>
    </row>
    <row r="697" spans="1:16" x14ac:dyDescent="0.45">
      <c r="A697" t="s">
        <v>1003</v>
      </c>
      <c r="B697" s="2">
        <v>331</v>
      </c>
      <c r="D697" t="s">
        <v>357</v>
      </c>
      <c r="F697" t="s">
        <v>42</v>
      </c>
      <c r="G697" t="s">
        <v>1004</v>
      </c>
      <c r="H697" s="1">
        <v>135</v>
      </c>
      <c r="I697" s="6">
        <v>216</v>
      </c>
      <c r="J697" s="6">
        <v>216</v>
      </c>
      <c r="K697" s="6">
        <v>143.1</v>
      </c>
      <c r="L697">
        <v>8</v>
      </c>
      <c r="M697">
        <v>0</v>
      </c>
      <c r="N697" t="b">
        <v>0</v>
      </c>
      <c r="O697" t="b">
        <v>0</v>
      </c>
      <c r="P697" t="b">
        <v>1</v>
      </c>
    </row>
    <row r="698" spans="1:16" x14ac:dyDescent="0.45">
      <c r="A698" t="s">
        <v>1005</v>
      </c>
      <c r="B698" s="2">
        <v>3003042</v>
      </c>
      <c r="D698" t="s">
        <v>357</v>
      </c>
      <c r="F698" t="s">
        <v>42</v>
      </c>
      <c r="G698" t="s">
        <v>47</v>
      </c>
      <c r="H698" s="1">
        <v>103.34</v>
      </c>
      <c r="I698" s="6">
        <v>195</v>
      </c>
      <c r="J698" s="6">
        <v>195</v>
      </c>
      <c r="K698" s="6">
        <v>109.54040000000001</v>
      </c>
      <c r="L698">
        <v>8</v>
      </c>
      <c r="M698">
        <v>0</v>
      </c>
      <c r="N698" t="b">
        <v>0</v>
      </c>
      <c r="O698" t="b">
        <v>0</v>
      </c>
      <c r="P698" t="b">
        <v>1</v>
      </c>
    </row>
    <row r="699" spans="1:16" x14ac:dyDescent="0.45">
      <c r="A699" t="s">
        <v>1006</v>
      </c>
      <c r="B699" s="2">
        <v>6000207</v>
      </c>
      <c r="D699" t="s">
        <v>34</v>
      </c>
      <c r="F699" t="s">
        <v>51</v>
      </c>
      <c r="G699" t="s">
        <v>1007</v>
      </c>
      <c r="H699" s="1">
        <v>39.583500000000001</v>
      </c>
      <c r="I699" s="6">
        <v>60</v>
      </c>
      <c r="J699" s="6">
        <v>60</v>
      </c>
      <c r="K699" s="6">
        <v>41.958509999999997</v>
      </c>
      <c r="L699">
        <v>8</v>
      </c>
      <c r="M699">
        <v>0</v>
      </c>
      <c r="N699" t="b">
        <v>0</v>
      </c>
      <c r="O699" t="b">
        <v>0</v>
      </c>
      <c r="P699" t="b">
        <v>1</v>
      </c>
    </row>
    <row r="700" spans="1:16" x14ac:dyDescent="0.45">
      <c r="A700" t="s">
        <v>1008</v>
      </c>
      <c r="B700" s="2">
        <v>6000142</v>
      </c>
      <c r="D700" t="s">
        <v>34</v>
      </c>
      <c r="F700" t="s">
        <v>51</v>
      </c>
      <c r="G700" t="s">
        <v>1009</v>
      </c>
      <c r="H700" s="1">
        <v>314.81333000000001</v>
      </c>
      <c r="I700" s="6">
        <v>350</v>
      </c>
      <c r="J700" s="6">
        <v>350</v>
      </c>
      <c r="K700" s="6">
        <v>333.70212980000002</v>
      </c>
      <c r="L700">
        <v>0</v>
      </c>
      <c r="M700">
        <v>0</v>
      </c>
      <c r="N700" t="b">
        <v>0</v>
      </c>
      <c r="O700" t="b">
        <v>0</v>
      </c>
      <c r="P700" t="b">
        <v>1</v>
      </c>
    </row>
    <row r="701" spans="1:16" x14ac:dyDescent="0.45">
      <c r="A701" t="s">
        <v>1010</v>
      </c>
      <c r="B701" s="2">
        <v>6000143</v>
      </c>
      <c r="D701" t="s">
        <v>34</v>
      </c>
      <c r="F701" t="s">
        <v>42</v>
      </c>
      <c r="G701" t="s">
        <v>65</v>
      </c>
      <c r="H701" s="1">
        <v>35</v>
      </c>
      <c r="I701" s="6">
        <v>54</v>
      </c>
      <c r="J701" s="6">
        <v>54</v>
      </c>
      <c r="K701" s="6">
        <v>37.1</v>
      </c>
      <c r="L701">
        <v>8</v>
      </c>
      <c r="M701">
        <v>0</v>
      </c>
      <c r="N701" t="b">
        <v>0</v>
      </c>
      <c r="O701" t="b">
        <v>0</v>
      </c>
      <c r="P701" t="b">
        <v>1</v>
      </c>
    </row>
    <row r="702" spans="1:16" x14ac:dyDescent="0.45">
      <c r="A702" t="s">
        <v>1011</v>
      </c>
      <c r="B702" s="2">
        <v>6000005</v>
      </c>
      <c r="D702" t="s">
        <v>34</v>
      </c>
      <c r="F702" t="s">
        <v>159</v>
      </c>
      <c r="G702" t="s">
        <v>1012</v>
      </c>
      <c r="H702" s="1">
        <v>25.925830000000001</v>
      </c>
      <c r="I702" s="6">
        <v>37.799999999999997</v>
      </c>
      <c r="J702" s="6">
        <v>37.799999999999997</v>
      </c>
      <c r="K702" s="6">
        <v>27.481379799999999</v>
      </c>
      <c r="L702">
        <v>8</v>
      </c>
      <c r="M702">
        <v>0</v>
      </c>
      <c r="N702" t="b">
        <v>0</v>
      </c>
      <c r="O702" t="b">
        <v>0</v>
      </c>
      <c r="P702" t="b">
        <v>1</v>
      </c>
    </row>
    <row r="703" spans="1:16" x14ac:dyDescent="0.45">
      <c r="A703" t="s">
        <v>1013</v>
      </c>
      <c r="B703" s="2">
        <v>3000076</v>
      </c>
      <c r="D703" t="s">
        <v>41</v>
      </c>
      <c r="F703" t="s">
        <v>51</v>
      </c>
      <c r="G703" t="s">
        <v>179</v>
      </c>
      <c r="H703" s="1">
        <v>104.16664</v>
      </c>
      <c r="I703" s="6">
        <v>160</v>
      </c>
      <c r="J703" s="6">
        <v>160</v>
      </c>
      <c r="K703" s="6">
        <v>110.4166384</v>
      </c>
      <c r="L703">
        <v>8</v>
      </c>
      <c r="M703">
        <v>80</v>
      </c>
      <c r="N703" t="b">
        <v>0</v>
      </c>
      <c r="O703" t="b">
        <v>0</v>
      </c>
      <c r="P703" t="b">
        <v>1</v>
      </c>
    </row>
    <row r="704" spans="1:16" x14ac:dyDescent="0.45">
      <c r="A704" t="s">
        <v>1014</v>
      </c>
      <c r="B704" s="2">
        <v>6000006</v>
      </c>
      <c r="D704" t="s">
        <v>34</v>
      </c>
      <c r="F704" t="s">
        <v>339</v>
      </c>
      <c r="G704" t="s">
        <v>1015</v>
      </c>
      <c r="H704" s="1">
        <v>104.16664</v>
      </c>
      <c r="I704" s="6">
        <v>231.48150000000001</v>
      </c>
      <c r="J704" s="6">
        <v>219.91</v>
      </c>
      <c r="K704" s="6">
        <v>110.4166384</v>
      </c>
      <c r="L704">
        <v>8</v>
      </c>
      <c r="M704">
        <v>0</v>
      </c>
      <c r="N704" t="b">
        <v>0</v>
      </c>
      <c r="O704" t="b">
        <v>0</v>
      </c>
      <c r="P704" t="b">
        <v>1</v>
      </c>
    </row>
    <row r="705" spans="1:16" x14ac:dyDescent="0.45">
      <c r="A705" t="s">
        <v>1016</v>
      </c>
      <c r="B705" s="2">
        <v>3000075</v>
      </c>
      <c r="D705" t="s">
        <v>41</v>
      </c>
      <c r="E705" s="5" t="s">
        <v>1077</v>
      </c>
      <c r="F705" t="s">
        <v>35</v>
      </c>
      <c r="G705" t="s">
        <v>406</v>
      </c>
      <c r="H705" s="1">
        <v>53.652030000000003</v>
      </c>
      <c r="I705" s="6">
        <v>111.11109999999999</v>
      </c>
      <c r="J705" s="6">
        <v>100.31</v>
      </c>
      <c r="K705" s="6">
        <v>56.8711518</v>
      </c>
      <c r="L705">
        <v>8</v>
      </c>
      <c r="M705">
        <v>60</v>
      </c>
      <c r="N705" t="b">
        <v>0</v>
      </c>
      <c r="O705" t="b">
        <v>0</v>
      </c>
      <c r="P705" t="b">
        <v>1</v>
      </c>
    </row>
    <row r="706" spans="1:16" x14ac:dyDescent="0.45">
      <c r="A706" t="s">
        <v>1017</v>
      </c>
      <c r="B706" s="2">
        <v>173</v>
      </c>
      <c r="D706" t="s">
        <v>41</v>
      </c>
      <c r="F706" t="s">
        <v>35</v>
      </c>
      <c r="G706" t="s">
        <v>811</v>
      </c>
      <c r="H706" s="1">
        <v>26.234169999999999</v>
      </c>
      <c r="I706" s="6">
        <v>32.4</v>
      </c>
      <c r="J706" s="6">
        <v>32.4</v>
      </c>
      <c r="K706" s="6">
        <v>27.808220200000001</v>
      </c>
      <c r="L706">
        <v>8</v>
      </c>
      <c r="M706">
        <v>0</v>
      </c>
      <c r="N706" t="b">
        <v>0</v>
      </c>
      <c r="O706" t="b">
        <v>0</v>
      </c>
      <c r="P706" t="b">
        <v>1</v>
      </c>
    </row>
    <row r="707" spans="1:16" x14ac:dyDescent="0.45">
      <c r="A707" t="s">
        <v>1018</v>
      </c>
      <c r="B707" s="2">
        <v>3003247</v>
      </c>
      <c r="D707" t="s">
        <v>41</v>
      </c>
      <c r="E707" s="5" t="s">
        <v>1077</v>
      </c>
      <c r="F707" t="s">
        <v>35</v>
      </c>
      <c r="G707" t="s">
        <v>224</v>
      </c>
      <c r="H707" s="1">
        <v>53.83</v>
      </c>
      <c r="I707" s="6">
        <v>100</v>
      </c>
      <c r="J707" s="6">
        <v>100</v>
      </c>
      <c r="K707" s="6">
        <v>57.059800000000003</v>
      </c>
      <c r="L707">
        <v>8</v>
      </c>
      <c r="M707">
        <v>60</v>
      </c>
      <c r="N707" t="b">
        <v>0</v>
      </c>
      <c r="O707" t="b">
        <v>0</v>
      </c>
      <c r="P707" t="b">
        <v>1</v>
      </c>
    </row>
    <row r="708" spans="1:16" x14ac:dyDescent="0.45">
      <c r="A708" t="s">
        <v>1019</v>
      </c>
      <c r="B708" s="2">
        <v>6000007</v>
      </c>
      <c r="D708" t="s">
        <v>34</v>
      </c>
      <c r="F708" t="s">
        <v>38</v>
      </c>
      <c r="G708" t="s">
        <v>129</v>
      </c>
      <c r="H708" s="1">
        <v>240</v>
      </c>
      <c r="I708" s="6">
        <v>350</v>
      </c>
      <c r="J708" s="6">
        <v>350</v>
      </c>
      <c r="K708" s="6">
        <v>254.4</v>
      </c>
      <c r="L708">
        <v>8</v>
      </c>
      <c r="M708">
        <v>0</v>
      </c>
      <c r="N708" t="b">
        <v>0</v>
      </c>
      <c r="O708" t="b">
        <v>0</v>
      </c>
      <c r="P708" t="b">
        <v>1</v>
      </c>
    </row>
    <row r="709" spans="1:16" x14ac:dyDescent="0.45">
      <c r="A709" t="s">
        <v>1020</v>
      </c>
      <c r="B709" s="2">
        <v>347</v>
      </c>
      <c r="D709" t="s">
        <v>416</v>
      </c>
      <c r="F709" t="s">
        <v>339</v>
      </c>
      <c r="G709" t="s">
        <v>154</v>
      </c>
      <c r="H709" s="1">
        <v>10.27</v>
      </c>
      <c r="I709" s="6">
        <v>11.46</v>
      </c>
      <c r="J709" s="6">
        <v>11.46</v>
      </c>
      <c r="K709" s="6">
        <v>10.886200000000001</v>
      </c>
      <c r="L709">
        <v>8</v>
      </c>
      <c r="M709">
        <v>0</v>
      </c>
      <c r="N709" t="b">
        <v>0</v>
      </c>
      <c r="O709" t="b">
        <v>0</v>
      </c>
      <c r="P709" t="b">
        <v>1</v>
      </c>
    </row>
    <row r="710" spans="1:16" x14ac:dyDescent="0.45">
      <c r="A710" t="s">
        <v>1021</v>
      </c>
      <c r="B710" s="2">
        <v>6000206</v>
      </c>
      <c r="D710" t="s">
        <v>34</v>
      </c>
      <c r="F710" t="s">
        <v>51</v>
      </c>
      <c r="H710" s="1">
        <v>23.148</v>
      </c>
      <c r="I710" s="6">
        <v>55</v>
      </c>
      <c r="J710" s="6">
        <v>55</v>
      </c>
      <c r="K710" s="6">
        <v>24.53688</v>
      </c>
      <c r="L710">
        <v>8</v>
      </c>
      <c r="M710">
        <v>0</v>
      </c>
      <c r="N710" t="b">
        <v>0</v>
      </c>
      <c r="O710" t="b">
        <v>0</v>
      </c>
      <c r="P710" t="b">
        <v>1</v>
      </c>
    </row>
    <row r="711" spans="1:16" x14ac:dyDescent="0.45">
      <c r="A711" t="s">
        <v>1022</v>
      </c>
      <c r="B711" s="2">
        <v>6000205</v>
      </c>
      <c r="D711" t="s">
        <v>34</v>
      </c>
      <c r="F711" t="s">
        <v>51</v>
      </c>
      <c r="H711" s="1">
        <v>23.148</v>
      </c>
      <c r="I711" s="6">
        <v>55</v>
      </c>
      <c r="J711" s="6">
        <v>55</v>
      </c>
      <c r="K711" s="6">
        <v>24.53688</v>
      </c>
      <c r="L711">
        <v>8</v>
      </c>
      <c r="M711">
        <v>0</v>
      </c>
      <c r="N711" t="b">
        <v>0</v>
      </c>
      <c r="O711" t="b">
        <v>0</v>
      </c>
      <c r="P711" t="b">
        <v>1</v>
      </c>
    </row>
    <row r="712" spans="1:16" x14ac:dyDescent="0.45">
      <c r="A712" t="s">
        <v>1023</v>
      </c>
      <c r="B712" s="2">
        <v>6000008</v>
      </c>
      <c r="D712" t="s">
        <v>34</v>
      </c>
      <c r="F712" t="s">
        <v>51</v>
      </c>
      <c r="H712" s="1">
        <v>25.46</v>
      </c>
      <c r="I712" s="6">
        <v>97.2</v>
      </c>
      <c r="J712" s="6">
        <v>97.2</v>
      </c>
      <c r="K712" s="6">
        <v>26.9876</v>
      </c>
      <c r="L712">
        <v>8</v>
      </c>
      <c r="M712">
        <v>0</v>
      </c>
      <c r="N712" t="b">
        <v>0</v>
      </c>
      <c r="O712" t="b">
        <v>0</v>
      </c>
      <c r="P712" t="b">
        <v>1</v>
      </c>
    </row>
    <row r="713" spans="1:16" x14ac:dyDescent="0.45">
      <c r="A713" t="s">
        <v>1024</v>
      </c>
      <c r="B713" s="2">
        <v>3000211</v>
      </c>
      <c r="D713" t="s">
        <v>67</v>
      </c>
      <c r="F713" t="s">
        <v>42</v>
      </c>
      <c r="G713" t="s">
        <v>1025</v>
      </c>
      <c r="H713" s="1">
        <v>67.69</v>
      </c>
      <c r="I713" s="6">
        <v>129</v>
      </c>
      <c r="J713" s="6">
        <v>129</v>
      </c>
      <c r="K713" s="6">
        <v>71.751400000000004</v>
      </c>
      <c r="L713">
        <v>8</v>
      </c>
      <c r="M713">
        <v>40</v>
      </c>
      <c r="N713" t="b">
        <v>0</v>
      </c>
      <c r="O713" t="b">
        <v>0</v>
      </c>
      <c r="P713" t="b">
        <v>1</v>
      </c>
    </row>
    <row r="714" spans="1:16" x14ac:dyDescent="0.45">
      <c r="A714" t="s">
        <v>1026</v>
      </c>
      <c r="B714" s="2">
        <v>3003249</v>
      </c>
      <c r="D714" t="s">
        <v>41</v>
      </c>
      <c r="F714" t="s">
        <v>35</v>
      </c>
      <c r="G714" t="s">
        <v>1027</v>
      </c>
      <c r="H714" s="1">
        <v>139.80000000000001</v>
      </c>
      <c r="I714" s="6">
        <v>185</v>
      </c>
      <c r="J714" s="6">
        <v>180</v>
      </c>
      <c r="K714" s="6">
        <v>148.18799999999999</v>
      </c>
      <c r="L714">
        <v>0</v>
      </c>
      <c r="M714">
        <v>0</v>
      </c>
      <c r="N714" t="b">
        <v>0</v>
      </c>
      <c r="O714" t="b">
        <v>0</v>
      </c>
      <c r="P714" t="b">
        <v>1</v>
      </c>
    </row>
    <row r="715" spans="1:16" x14ac:dyDescent="0.45">
      <c r="A715" t="s">
        <v>1028</v>
      </c>
      <c r="B715" s="2">
        <v>6000009</v>
      </c>
      <c r="D715" t="s">
        <v>34</v>
      </c>
      <c r="F715" t="s">
        <v>42</v>
      </c>
      <c r="G715" t="s">
        <v>1029</v>
      </c>
      <c r="H715" s="1">
        <v>18</v>
      </c>
      <c r="I715" s="6">
        <v>20</v>
      </c>
      <c r="J715" s="6">
        <v>20</v>
      </c>
      <c r="K715" s="6">
        <v>19.079999999999998</v>
      </c>
      <c r="L715">
        <v>0</v>
      </c>
      <c r="M715">
        <v>0</v>
      </c>
      <c r="N715" t="b">
        <v>0</v>
      </c>
      <c r="O715" t="b">
        <v>0</v>
      </c>
      <c r="P715" t="b">
        <v>1</v>
      </c>
    </row>
    <row r="716" spans="1:16" x14ac:dyDescent="0.45">
      <c r="A716" t="s">
        <v>1030</v>
      </c>
      <c r="B716" s="2">
        <v>1006201</v>
      </c>
      <c r="D716" t="s">
        <v>41</v>
      </c>
      <c r="F716" t="s">
        <v>42</v>
      </c>
      <c r="G716" t="s">
        <v>1031</v>
      </c>
      <c r="H716" s="1">
        <v>73.33</v>
      </c>
      <c r="I716" s="6">
        <v>120</v>
      </c>
      <c r="J716" s="6">
        <v>120</v>
      </c>
      <c r="K716" s="6">
        <v>77.729799999999997</v>
      </c>
      <c r="L716">
        <v>0</v>
      </c>
      <c r="M716">
        <v>0</v>
      </c>
      <c r="N716" t="b">
        <v>0</v>
      </c>
      <c r="O716" t="b">
        <v>0</v>
      </c>
      <c r="P716" t="b">
        <v>1</v>
      </c>
    </row>
    <row r="717" spans="1:16" x14ac:dyDescent="0.45">
      <c r="A717" t="s">
        <v>1032</v>
      </c>
      <c r="B717" s="2">
        <v>118</v>
      </c>
      <c r="D717" t="s">
        <v>401</v>
      </c>
      <c r="F717" t="s">
        <v>42</v>
      </c>
      <c r="G717" t="s">
        <v>1033</v>
      </c>
      <c r="H717" s="1">
        <v>90.52</v>
      </c>
      <c r="I717" s="6">
        <v>162</v>
      </c>
      <c r="J717" s="6">
        <v>162</v>
      </c>
      <c r="K717" s="6">
        <v>95.9512</v>
      </c>
      <c r="L717">
        <v>8</v>
      </c>
      <c r="M717">
        <v>50</v>
      </c>
      <c r="N717" t="b">
        <v>0</v>
      </c>
      <c r="O717" t="b">
        <v>0</v>
      </c>
      <c r="P717" t="b">
        <v>1</v>
      </c>
    </row>
    <row r="718" spans="1:16" x14ac:dyDescent="0.45">
      <c r="A718" t="s">
        <v>1034</v>
      </c>
      <c r="B718" s="2">
        <v>3000404</v>
      </c>
      <c r="D718" t="s">
        <v>401</v>
      </c>
      <c r="F718" t="s">
        <v>42</v>
      </c>
      <c r="G718" t="s">
        <v>355</v>
      </c>
      <c r="H718" s="1">
        <v>123.92</v>
      </c>
      <c r="I718" s="6">
        <v>237.6</v>
      </c>
      <c r="J718" s="6">
        <v>237.6</v>
      </c>
      <c r="K718" s="6">
        <v>131.3552</v>
      </c>
      <c r="L718">
        <v>8</v>
      </c>
      <c r="M718">
        <v>0</v>
      </c>
      <c r="N718" t="b">
        <v>0</v>
      </c>
      <c r="O718" t="b">
        <v>0</v>
      </c>
      <c r="P718" t="b">
        <v>1</v>
      </c>
    </row>
    <row r="719" spans="1:16" x14ac:dyDescent="0.45">
      <c r="A719" t="s">
        <v>1035</v>
      </c>
      <c r="B719" s="2">
        <v>3003378</v>
      </c>
      <c r="D719" t="s">
        <v>183</v>
      </c>
      <c r="F719" t="s">
        <v>42</v>
      </c>
      <c r="G719" t="s">
        <v>777</v>
      </c>
      <c r="H719" s="1">
        <v>165.57</v>
      </c>
      <c r="I719" s="6">
        <v>326.67</v>
      </c>
      <c r="J719" s="6">
        <v>326.67</v>
      </c>
      <c r="K719" s="6">
        <v>175.5042</v>
      </c>
      <c r="L719">
        <v>8</v>
      </c>
      <c r="M719">
        <v>0</v>
      </c>
      <c r="N719" t="b">
        <v>0</v>
      </c>
      <c r="O719" t="b">
        <v>0</v>
      </c>
      <c r="P719" t="b">
        <v>1</v>
      </c>
    </row>
    <row r="720" spans="1:16" x14ac:dyDescent="0.45">
      <c r="A720" t="s">
        <v>1036</v>
      </c>
      <c r="B720" s="2">
        <v>3003492</v>
      </c>
      <c r="D720" t="s">
        <v>183</v>
      </c>
      <c r="F720" t="s">
        <v>42</v>
      </c>
      <c r="G720" t="s">
        <v>68</v>
      </c>
      <c r="H720" s="1">
        <v>110.56</v>
      </c>
      <c r="I720" s="6">
        <v>300</v>
      </c>
      <c r="J720" s="6">
        <v>300</v>
      </c>
      <c r="K720" s="6">
        <v>117.1936</v>
      </c>
      <c r="L720">
        <v>8</v>
      </c>
      <c r="M720">
        <v>15</v>
      </c>
      <c r="N720" t="b">
        <v>0</v>
      </c>
      <c r="O720" t="b">
        <v>0</v>
      </c>
      <c r="P720" t="b">
        <v>1</v>
      </c>
    </row>
    <row r="721" spans="1:16" x14ac:dyDescent="0.45">
      <c r="A721" t="s">
        <v>1037</v>
      </c>
      <c r="B721" s="2">
        <v>1007493</v>
      </c>
      <c r="D721" t="s">
        <v>41</v>
      </c>
      <c r="F721" t="s">
        <v>42</v>
      </c>
      <c r="G721" t="s">
        <v>47</v>
      </c>
      <c r="H721" s="1">
        <v>40.28</v>
      </c>
      <c r="I721" s="6">
        <v>85</v>
      </c>
      <c r="J721" s="6">
        <v>80</v>
      </c>
      <c r="K721" s="6">
        <v>42.696800000000003</v>
      </c>
      <c r="L721">
        <v>0</v>
      </c>
      <c r="M721">
        <v>0</v>
      </c>
      <c r="N721" t="b">
        <v>0</v>
      </c>
      <c r="O721" t="b">
        <v>0</v>
      </c>
      <c r="P721" t="b">
        <v>1</v>
      </c>
    </row>
    <row r="722" spans="1:16" x14ac:dyDescent="0.45">
      <c r="A722" t="s">
        <v>1038</v>
      </c>
      <c r="B722" s="2">
        <v>518</v>
      </c>
      <c r="D722" t="s">
        <v>41</v>
      </c>
      <c r="F722" t="s">
        <v>38</v>
      </c>
      <c r="G722" t="s">
        <v>86</v>
      </c>
      <c r="H722" s="1">
        <v>18.09</v>
      </c>
      <c r="I722" s="6">
        <v>28.3</v>
      </c>
      <c r="J722" s="6">
        <v>28.3</v>
      </c>
      <c r="K722" s="6">
        <v>19.1754</v>
      </c>
      <c r="L722">
        <v>0</v>
      </c>
      <c r="M722">
        <v>0</v>
      </c>
      <c r="N722" t="b">
        <v>0</v>
      </c>
      <c r="O722" t="b">
        <v>0</v>
      </c>
      <c r="P722" t="b">
        <v>1</v>
      </c>
    </row>
    <row r="723" spans="1:16" x14ac:dyDescent="0.45">
      <c r="A723" t="s">
        <v>1039</v>
      </c>
      <c r="B723" s="2">
        <v>3003082</v>
      </c>
      <c r="D723" t="s">
        <v>41</v>
      </c>
      <c r="F723" t="s">
        <v>51</v>
      </c>
      <c r="G723" t="s">
        <v>1040</v>
      </c>
      <c r="H723" s="1">
        <v>82.47</v>
      </c>
      <c r="I723" s="6">
        <v>90</v>
      </c>
      <c r="J723" s="6">
        <v>90</v>
      </c>
      <c r="K723" s="6">
        <v>87.418199999999999</v>
      </c>
      <c r="L723">
        <v>8</v>
      </c>
      <c r="M723">
        <v>0</v>
      </c>
      <c r="N723" t="b">
        <v>0</v>
      </c>
      <c r="O723" t="b">
        <v>0</v>
      </c>
      <c r="P723" t="b">
        <v>1</v>
      </c>
    </row>
    <row r="724" spans="1:16" x14ac:dyDescent="0.45">
      <c r="A724" t="s">
        <v>1041</v>
      </c>
      <c r="B724" s="2">
        <v>476</v>
      </c>
      <c r="D724" t="s">
        <v>357</v>
      </c>
      <c r="F724" t="s">
        <v>42</v>
      </c>
      <c r="G724" t="s">
        <v>296</v>
      </c>
      <c r="H724" s="1">
        <v>102.50069999999999</v>
      </c>
      <c r="I724" s="6">
        <v>180</v>
      </c>
      <c r="J724" s="6">
        <v>180</v>
      </c>
      <c r="K724" s="6">
        <v>108.65074199999999</v>
      </c>
      <c r="L724">
        <v>8</v>
      </c>
      <c r="M724">
        <v>0</v>
      </c>
      <c r="N724" t="b">
        <v>0</v>
      </c>
      <c r="O724" t="b">
        <v>0</v>
      </c>
      <c r="P724" t="b">
        <v>1</v>
      </c>
    </row>
    <row r="725" spans="1:16" x14ac:dyDescent="0.45">
      <c r="A725" t="s">
        <v>1042</v>
      </c>
      <c r="B725" s="2">
        <v>3000104</v>
      </c>
      <c r="D725" t="s">
        <v>67</v>
      </c>
      <c r="F725" t="s">
        <v>42</v>
      </c>
      <c r="G725" t="s">
        <v>254</v>
      </c>
      <c r="H725" s="1">
        <v>60.453000000000003</v>
      </c>
      <c r="I725" s="6">
        <v>110</v>
      </c>
      <c r="J725" s="6">
        <v>110</v>
      </c>
      <c r="K725" s="6">
        <v>64.080179999999999</v>
      </c>
      <c r="L725">
        <v>8</v>
      </c>
      <c r="M725">
        <v>10</v>
      </c>
      <c r="N725" t="b">
        <v>0</v>
      </c>
      <c r="O725" t="b">
        <v>0</v>
      </c>
      <c r="P725" t="b">
        <v>1</v>
      </c>
    </row>
    <row r="726" spans="1:16" x14ac:dyDescent="0.45">
      <c r="A726" t="s">
        <v>1043</v>
      </c>
      <c r="B726" s="2">
        <v>6000010</v>
      </c>
      <c r="D726" t="s">
        <v>34</v>
      </c>
      <c r="F726" t="s">
        <v>38</v>
      </c>
      <c r="G726" t="s">
        <v>47</v>
      </c>
      <c r="H726" s="1">
        <v>0</v>
      </c>
      <c r="I726" s="6">
        <v>250</v>
      </c>
      <c r="J726" s="6">
        <v>250</v>
      </c>
      <c r="K726" s="6">
        <v>250</v>
      </c>
      <c r="L726">
        <v>8</v>
      </c>
      <c r="M726">
        <v>0</v>
      </c>
      <c r="N726" t="b">
        <v>0</v>
      </c>
      <c r="O726" t="b">
        <v>0</v>
      </c>
      <c r="P726" t="b">
        <v>1</v>
      </c>
    </row>
    <row r="727" spans="1:16" x14ac:dyDescent="0.45">
      <c r="A727" t="s">
        <v>1044</v>
      </c>
      <c r="B727" s="2">
        <v>33</v>
      </c>
      <c r="D727" t="s">
        <v>41</v>
      </c>
      <c r="F727" t="s">
        <v>159</v>
      </c>
      <c r="G727" t="s">
        <v>768</v>
      </c>
      <c r="H727" s="1">
        <v>21.172999999999998</v>
      </c>
      <c r="I727" s="6">
        <v>69.989999999999995</v>
      </c>
      <c r="J727" s="6">
        <v>69.989999999999995</v>
      </c>
      <c r="K727" s="6">
        <v>22.443380000000001</v>
      </c>
      <c r="L727">
        <v>8</v>
      </c>
      <c r="M727">
        <v>60</v>
      </c>
      <c r="N727" t="b">
        <v>0</v>
      </c>
      <c r="O727" t="b">
        <v>0</v>
      </c>
      <c r="P727" t="b">
        <v>1</v>
      </c>
    </row>
    <row r="728" spans="1:16" x14ac:dyDescent="0.45">
      <c r="A728" t="s">
        <v>1045</v>
      </c>
      <c r="B728" s="2">
        <v>19</v>
      </c>
      <c r="D728" t="s">
        <v>41</v>
      </c>
      <c r="F728" t="s">
        <v>159</v>
      </c>
      <c r="G728" t="s">
        <v>1046</v>
      </c>
      <c r="H728" s="1">
        <v>99.33</v>
      </c>
      <c r="I728" s="6">
        <v>160</v>
      </c>
      <c r="J728" s="6">
        <v>160</v>
      </c>
      <c r="K728" s="6">
        <v>105.2898</v>
      </c>
      <c r="L728">
        <v>8</v>
      </c>
      <c r="M728">
        <v>0</v>
      </c>
      <c r="N728" t="b">
        <v>0</v>
      </c>
      <c r="O728" t="b">
        <v>0</v>
      </c>
      <c r="P728" t="b">
        <v>1</v>
      </c>
    </row>
    <row r="729" spans="1:16" x14ac:dyDescent="0.45">
      <c r="A729" t="s">
        <v>1047</v>
      </c>
      <c r="B729" s="2">
        <v>6000011</v>
      </c>
      <c r="D729" t="s">
        <v>34</v>
      </c>
      <c r="F729" t="s">
        <v>42</v>
      </c>
      <c r="G729" t="s">
        <v>1048</v>
      </c>
      <c r="H729" s="1">
        <v>26.234580000000001</v>
      </c>
      <c r="I729" s="6">
        <v>41.67</v>
      </c>
      <c r="J729" s="6">
        <v>41.67</v>
      </c>
      <c r="K729" s="6">
        <v>27.808654799999999</v>
      </c>
      <c r="L729">
        <v>8</v>
      </c>
      <c r="M729">
        <v>0</v>
      </c>
      <c r="N729" t="b">
        <v>0</v>
      </c>
      <c r="O729" t="b">
        <v>0</v>
      </c>
      <c r="P729" t="b">
        <v>1</v>
      </c>
    </row>
    <row r="730" spans="1:16" x14ac:dyDescent="0.45">
      <c r="A730" t="s">
        <v>1049</v>
      </c>
      <c r="B730" s="2">
        <v>3000080</v>
      </c>
      <c r="D730" t="s">
        <v>41</v>
      </c>
      <c r="F730" t="s">
        <v>159</v>
      </c>
      <c r="G730" t="s">
        <v>908</v>
      </c>
      <c r="H730" s="1">
        <v>54.31</v>
      </c>
      <c r="I730" s="6">
        <v>138.88889</v>
      </c>
      <c r="J730" s="6">
        <v>135.41666000000001</v>
      </c>
      <c r="K730" s="6">
        <v>57.568600000000004</v>
      </c>
      <c r="L730">
        <v>8</v>
      </c>
      <c r="M730">
        <v>60</v>
      </c>
      <c r="N730" t="b">
        <v>0</v>
      </c>
      <c r="O730" t="b">
        <v>0</v>
      </c>
      <c r="P730" t="b">
        <v>1</v>
      </c>
    </row>
    <row r="731" spans="1:16" x14ac:dyDescent="0.45">
      <c r="A731" t="s">
        <v>1050</v>
      </c>
      <c r="B731" s="2">
        <v>6000004</v>
      </c>
      <c r="D731" t="s">
        <v>34</v>
      </c>
      <c r="F731" t="s">
        <v>159</v>
      </c>
      <c r="G731" t="s">
        <v>908</v>
      </c>
      <c r="H731" s="1">
        <v>26.67</v>
      </c>
      <c r="I731" s="6">
        <v>100</v>
      </c>
      <c r="J731" s="6">
        <v>100</v>
      </c>
      <c r="K731" s="6">
        <v>28.270199999999999</v>
      </c>
      <c r="L731">
        <v>8</v>
      </c>
      <c r="M731">
        <v>0</v>
      </c>
      <c r="N731" t="b">
        <v>0</v>
      </c>
      <c r="O731" t="b">
        <v>0</v>
      </c>
      <c r="P731" t="b">
        <v>1</v>
      </c>
    </row>
    <row r="732" spans="1:16" x14ac:dyDescent="0.45">
      <c r="A732" t="s">
        <v>1051</v>
      </c>
      <c r="B732" s="2">
        <v>508</v>
      </c>
      <c r="D732" t="s">
        <v>41</v>
      </c>
      <c r="F732" t="s">
        <v>159</v>
      </c>
      <c r="G732" t="s">
        <v>1052</v>
      </c>
      <c r="H732" s="1">
        <v>12.72</v>
      </c>
      <c r="I732" s="6">
        <v>20</v>
      </c>
      <c r="J732" s="6">
        <v>20</v>
      </c>
      <c r="K732" s="6">
        <v>13.4832</v>
      </c>
      <c r="L732">
        <v>8</v>
      </c>
      <c r="M732">
        <v>60</v>
      </c>
      <c r="N732" t="b">
        <v>0</v>
      </c>
      <c r="O732" t="b">
        <v>0</v>
      </c>
      <c r="P732" t="b">
        <v>1</v>
      </c>
    </row>
    <row r="733" spans="1:16" x14ac:dyDescent="0.45">
      <c r="A733" t="s">
        <v>1053</v>
      </c>
      <c r="B733" s="2">
        <v>6000215</v>
      </c>
      <c r="D733" t="s">
        <v>34</v>
      </c>
      <c r="F733" t="s">
        <v>159</v>
      </c>
      <c r="G733" t="s">
        <v>549</v>
      </c>
      <c r="H733" s="1">
        <v>35</v>
      </c>
      <c r="I733" s="6">
        <v>50</v>
      </c>
      <c r="J733" s="6">
        <v>50</v>
      </c>
      <c r="K733" s="6">
        <v>37.1</v>
      </c>
      <c r="L733">
        <v>8</v>
      </c>
      <c r="M733">
        <v>0</v>
      </c>
      <c r="N733" t="b">
        <v>0</v>
      </c>
      <c r="O733" t="b">
        <v>0</v>
      </c>
      <c r="P733" t="b">
        <v>1</v>
      </c>
    </row>
    <row r="734" spans="1:16" x14ac:dyDescent="0.45">
      <c r="A734" t="s">
        <v>1054</v>
      </c>
      <c r="B734" s="2">
        <v>206</v>
      </c>
      <c r="D734" t="s">
        <v>41</v>
      </c>
      <c r="F734" t="s">
        <v>42</v>
      </c>
      <c r="G734" t="s">
        <v>47</v>
      </c>
      <c r="H734" s="1">
        <v>410</v>
      </c>
      <c r="I734" s="6">
        <v>540</v>
      </c>
      <c r="J734" s="6">
        <v>540</v>
      </c>
      <c r="K734" s="6">
        <v>434.6</v>
      </c>
      <c r="L734">
        <v>8</v>
      </c>
      <c r="M734">
        <v>0</v>
      </c>
      <c r="N734" t="b">
        <v>0</v>
      </c>
      <c r="O734" t="b">
        <v>0</v>
      </c>
      <c r="P734" t="b">
        <v>1</v>
      </c>
    </row>
    <row r="735" spans="1:16" x14ac:dyDescent="0.45">
      <c r="A735" t="s">
        <v>1055</v>
      </c>
      <c r="B735" s="2">
        <v>3003350</v>
      </c>
      <c r="C735" t="s">
        <v>33</v>
      </c>
      <c r="D735" t="s">
        <v>41</v>
      </c>
      <c r="E735" s="5" t="s">
        <v>33</v>
      </c>
      <c r="F735" t="s">
        <v>38</v>
      </c>
      <c r="G735" t="s">
        <v>1056</v>
      </c>
      <c r="H735" s="1">
        <v>56.71</v>
      </c>
      <c r="I735" s="6">
        <v>101.8519</v>
      </c>
      <c r="J735" s="6">
        <v>92.59</v>
      </c>
      <c r="K735" s="6">
        <v>60.11</v>
      </c>
      <c r="L735">
        <v>8</v>
      </c>
      <c r="M735">
        <v>0</v>
      </c>
      <c r="N735" t="b">
        <v>0</v>
      </c>
      <c r="O735" t="b">
        <v>0</v>
      </c>
      <c r="P735" t="b">
        <v>1</v>
      </c>
    </row>
    <row r="736" spans="1:16" x14ac:dyDescent="0.45">
      <c r="A736" t="s">
        <v>1057</v>
      </c>
      <c r="B736" s="2">
        <v>3003071</v>
      </c>
      <c r="D736" t="s">
        <v>41</v>
      </c>
      <c r="F736" t="s">
        <v>42</v>
      </c>
      <c r="G736" t="s">
        <v>777</v>
      </c>
      <c r="H736" s="1">
        <v>175.84</v>
      </c>
      <c r="I736" s="6">
        <v>355</v>
      </c>
      <c r="J736" s="6">
        <v>355</v>
      </c>
      <c r="K736" s="6">
        <v>186.3904</v>
      </c>
      <c r="L736">
        <v>8</v>
      </c>
      <c r="M736">
        <v>0</v>
      </c>
      <c r="N736" t="b">
        <v>0</v>
      </c>
      <c r="O736" t="b">
        <v>0</v>
      </c>
      <c r="P736" t="b">
        <v>1</v>
      </c>
    </row>
    <row r="737" spans="1:16" x14ac:dyDescent="0.45">
      <c r="A737" t="s">
        <v>1058</v>
      </c>
      <c r="B737" s="2">
        <v>6000003</v>
      </c>
      <c r="D737" t="s">
        <v>34</v>
      </c>
      <c r="F737" t="s">
        <v>38</v>
      </c>
      <c r="G737" t="s">
        <v>60</v>
      </c>
      <c r="H737" s="1">
        <v>21.759170000000001</v>
      </c>
      <c r="I737" s="6">
        <v>55</v>
      </c>
      <c r="J737" s="6">
        <v>55</v>
      </c>
      <c r="K737" s="6">
        <v>23.0647202</v>
      </c>
      <c r="L737">
        <v>8</v>
      </c>
      <c r="M737">
        <v>0</v>
      </c>
      <c r="N737" t="b">
        <v>0</v>
      </c>
      <c r="O737" t="b">
        <v>0</v>
      </c>
      <c r="P737" t="b">
        <v>1</v>
      </c>
    </row>
    <row r="738" spans="1:16" x14ac:dyDescent="0.45">
      <c r="A738" t="s">
        <v>1059</v>
      </c>
      <c r="B738" s="2">
        <v>6000002</v>
      </c>
      <c r="D738" t="s">
        <v>34</v>
      </c>
      <c r="F738" t="s">
        <v>42</v>
      </c>
      <c r="G738" t="s">
        <v>65</v>
      </c>
      <c r="H738" s="1">
        <v>28</v>
      </c>
      <c r="I738" s="6">
        <v>32.4</v>
      </c>
      <c r="J738" s="6">
        <v>32.4</v>
      </c>
      <c r="K738" s="6">
        <v>29.68</v>
      </c>
      <c r="L738">
        <v>8</v>
      </c>
      <c r="M738">
        <v>0</v>
      </c>
      <c r="N738" t="b">
        <v>0</v>
      </c>
      <c r="O738" t="b">
        <v>0</v>
      </c>
      <c r="P738" t="b">
        <v>1</v>
      </c>
    </row>
    <row r="739" spans="1:16" x14ac:dyDescent="0.45">
      <c r="A739" t="s">
        <v>1060</v>
      </c>
      <c r="B739" s="2">
        <v>1006292</v>
      </c>
      <c r="D739" t="s">
        <v>170</v>
      </c>
      <c r="F739" t="s">
        <v>38</v>
      </c>
      <c r="G739" t="s">
        <v>317</v>
      </c>
      <c r="H739" s="1">
        <v>100.36</v>
      </c>
      <c r="I739" s="6">
        <v>156.66999999999999</v>
      </c>
      <c r="J739" s="6">
        <v>156.66999999999999</v>
      </c>
      <c r="K739" s="6">
        <v>106.38160000000001</v>
      </c>
      <c r="L739">
        <v>8</v>
      </c>
      <c r="M739">
        <v>0</v>
      </c>
      <c r="N739" t="b">
        <v>0</v>
      </c>
      <c r="O739" t="b">
        <v>0</v>
      </c>
      <c r="P739" t="b">
        <v>1</v>
      </c>
    </row>
    <row r="740" spans="1:16" x14ac:dyDescent="0.45">
      <c r="A740" t="s">
        <v>1061</v>
      </c>
      <c r="B740" s="2">
        <v>578</v>
      </c>
      <c r="D740" t="s">
        <v>41</v>
      </c>
      <c r="F740" t="s">
        <v>42</v>
      </c>
      <c r="G740" t="s">
        <v>43</v>
      </c>
      <c r="H740" s="1">
        <v>20</v>
      </c>
      <c r="I740" s="6">
        <v>30</v>
      </c>
      <c r="J740" s="6">
        <v>30</v>
      </c>
      <c r="K740" s="6">
        <v>21.2</v>
      </c>
      <c r="L740">
        <v>8</v>
      </c>
      <c r="M740">
        <v>0</v>
      </c>
      <c r="N740" t="b">
        <v>0</v>
      </c>
      <c r="O740" t="b">
        <v>0</v>
      </c>
      <c r="P740" t="b">
        <v>1</v>
      </c>
    </row>
    <row r="741" spans="1:16" x14ac:dyDescent="0.45">
      <c r="A741" t="s">
        <v>1062</v>
      </c>
      <c r="B741" s="2">
        <v>6000175</v>
      </c>
      <c r="D741" t="s">
        <v>34</v>
      </c>
      <c r="F741" t="s">
        <v>51</v>
      </c>
      <c r="G741" t="s">
        <v>65</v>
      </c>
      <c r="H741" s="1">
        <v>18</v>
      </c>
      <c r="I741" s="6">
        <v>27</v>
      </c>
      <c r="J741" s="6">
        <v>27</v>
      </c>
      <c r="K741" s="6">
        <v>19.079999999999998</v>
      </c>
      <c r="L741">
        <v>8</v>
      </c>
      <c r="M741">
        <v>0</v>
      </c>
      <c r="N741" t="b">
        <v>0</v>
      </c>
      <c r="O741" t="b">
        <v>0</v>
      </c>
      <c r="P741" t="b">
        <v>1</v>
      </c>
    </row>
    <row r="742" spans="1:16" x14ac:dyDescent="0.45">
      <c r="A742" t="s">
        <v>1063</v>
      </c>
      <c r="B742" s="2">
        <v>6000001</v>
      </c>
      <c r="D742" t="s">
        <v>34</v>
      </c>
      <c r="F742" t="s">
        <v>42</v>
      </c>
      <c r="G742" t="s">
        <v>65</v>
      </c>
      <c r="H742" s="1">
        <v>3.5</v>
      </c>
      <c r="I742" s="6">
        <v>25.47</v>
      </c>
      <c r="J742" s="6">
        <v>25.47</v>
      </c>
      <c r="K742" s="6">
        <v>3.71</v>
      </c>
      <c r="L742">
        <v>8</v>
      </c>
      <c r="M742">
        <v>0</v>
      </c>
      <c r="N742" t="b">
        <v>0</v>
      </c>
      <c r="O742" t="b">
        <v>0</v>
      </c>
      <c r="P742" t="b">
        <v>1</v>
      </c>
    </row>
    <row r="743" spans="1:16" x14ac:dyDescent="0.45">
      <c r="A743" t="s">
        <v>1064</v>
      </c>
      <c r="B743" s="2">
        <v>1007494</v>
      </c>
      <c r="D743" t="s">
        <v>41</v>
      </c>
      <c r="F743" t="s">
        <v>42</v>
      </c>
      <c r="G743" t="s">
        <v>47</v>
      </c>
      <c r="H743" s="1">
        <v>68.680000000000007</v>
      </c>
      <c r="I743" s="6">
        <v>120</v>
      </c>
      <c r="J743" s="6">
        <v>120</v>
      </c>
      <c r="K743" s="6">
        <v>72.800799999999995</v>
      </c>
      <c r="L743">
        <v>0</v>
      </c>
      <c r="M743">
        <v>0</v>
      </c>
      <c r="N743" t="b">
        <v>0</v>
      </c>
      <c r="O743" t="b">
        <v>0</v>
      </c>
      <c r="P743" t="b">
        <v>1</v>
      </c>
    </row>
    <row r="744" spans="1:16" x14ac:dyDescent="0.45">
      <c r="A744" t="s">
        <v>1065</v>
      </c>
      <c r="B744" s="2">
        <v>165</v>
      </c>
      <c r="D744" t="s">
        <v>41</v>
      </c>
      <c r="F744" t="s">
        <v>38</v>
      </c>
      <c r="G744" t="s">
        <v>86</v>
      </c>
      <c r="H744" s="1">
        <v>52.1</v>
      </c>
      <c r="I744" s="6">
        <v>70</v>
      </c>
      <c r="J744" s="6">
        <v>70</v>
      </c>
      <c r="K744" s="6">
        <v>55.225999999999999</v>
      </c>
      <c r="L744">
        <v>8</v>
      </c>
      <c r="M744">
        <v>60</v>
      </c>
      <c r="N744" t="b">
        <v>0</v>
      </c>
      <c r="O744" t="b">
        <v>0</v>
      </c>
      <c r="P744" t="b">
        <v>1</v>
      </c>
    </row>
    <row r="745" spans="1:16" x14ac:dyDescent="0.45">
      <c r="A745" t="s">
        <v>1066</v>
      </c>
      <c r="B745" s="2">
        <v>6000000</v>
      </c>
      <c r="D745" t="s">
        <v>34</v>
      </c>
      <c r="F745" t="s">
        <v>38</v>
      </c>
      <c r="G745" t="s">
        <v>86</v>
      </c>
      <c r="H745" s="1">
        <v>52.1</v>
      </c>
      <c r="I745" s="6">
        <v>78.703000000000003</v>
      </c>
      <c r="J745" s="6">
        <v>75</v>
      </c>
      <c r="K745" s="6">
        <v>55.225999999999999</v>
      </c>
      <c r="L745">
        <v>8</v>
      </c>
      <c r="M745">
        <v>0</v>
      </c>
      <c r="N745" t="b">
        <v>0</v>
      </c>
      <c r="O745" t="b">
        <v>0</v>
      </c>
      <c r="P745" t="b">
        <v>1</v>
      </c>
    </row>
    <row r="746" spans="1:16" x14ac:dyDescent="0.45">
      <c r="A746" t="s">
        <v>1067</v>
      </c>
      <c r="B746" s="2">
        <v>1009049</v>
      </c>
      <c r="D746" t="s">
        <v>41</v>
      </c>
      <c r="F746" t="s">
        <v>42</v>
      </c>
      <c r="G746" t="s">
        <v>43</v>
      </c>
      <c r="H746" s="1">
        <v>18.898060000000001</v>
      </c>
      <c r="I746" s="6">
        <v>30</v>
      </c>
      <c r="J746" s="6">
        <v>30</v>
      </c>
      <c r="K746" s="6">
        <v>20.031943600000002</v>
      </c>
      <c r="L746">
        <v>8</v>
      </c>
      <c r="M746">
        <v>0</v>
      </c>
      <c r="N746" t="b">
        <v>0</v>
      </c>
      <c r="O746" t="b">
        <v>0</v>
      </c>
      <c r="P746" t="b">
        <v>1</v>
      </c>
    </row>
    <row r="747" spans="1:16" x14ac:dyDescent="0.45">
      <c r="A747" t="s">
        <v>1068</v>
      </c>
      <c r="B747" s="2">
        <v>3000583</v>
      </c>
      <c r="D747" t="s">
        <v>170</v>
      </c>
      <c r="F747" t="s">
        <v>38</v>
      </c>
      <c r="G747" t="s">
        <v>317</v>
      </c>
      <c r="H747" s="1">
        <v>44.752749999999999</v>
      </c>
      <c r="I747" s="6">
        <v>95</v>
      </c>
      <c r="J747" s="6">
        <v>95</v>
      </c>
      <c r="K747" s="6">
        <v>47.437914999999997</v>
      </c>
      <c r="L747">
        <v>8</v>
      </c>
      <c r="M747">
        <v>60</v>
      </c>
      <c r="N747" t="b">
        <v>0</v>
      </c>
      <c r="O747" t="b">
        <v>0</v>
      </c>
      <c r="P747" t="b">
        <v>1</v>
      </c>
    </row>
    <row r="748" spans="1:16" x14ac:dyDescent="0.45">
      <c r="A748" t="s">
        <v>1069</v>
      </c>
      <c r="B748" s="2">
        <v>3000017</v>
      </c>
      <c r="D748" t="s">
        <v>41</v>
      </c>
      <c r="F748" t="s">
        <v>35</v>
      </c>
      <c r="G748" t="s">
        <v>777</v>
      </c>
      <c r="H748" s="1">
        <v>78.400000000000006</v>
      </c>
      <c r="I748" s="6">
        <v>102.5</v>
      </c>
      <c r="J748" s="6">
        <v>102.5</v>
      </c>
      <c r="K748" s="6">
        <v>83.103999999999999</v>
      </c>
      <c r="L748">
        <v>8</v>
      </c>
      <c r="M748">
        <v>30</v>
      </c>
      <c r="N748" t="b">
        <v>0</v>
      </c>
      <c r="O748" t="b">
        <v>0</v>
      </c>
      <c r="P748" t="b">
        <v>1</v>
      </c>
    </row>
    <row r="749" spans="1:16" x14ac:dyDescent="0.45">
      <c r="A749" t="s">
        <v>1070</v>
      </c>
      <c r="B749" s="2">
        <v>3003256</v>
      </c>
      <c r="D749" t="s">
        <v>41</v>
      </c>
      <c r="F749" t="s">
        <v>42</v>
      </c>
      <c r="G749" t="s">
        <v>47</v>
      </c>
      <c r="H749" s="1">
        <v>54.27</v>
      </c>
      <c r="I749" s="6">
        <v>90</v>
      </c>
      <c r="J749" s="6">
        <v>90</v>
      </c>
      <c r="K749" s="6">
        <v>57.526200000000003</v>
      </c>
      <c r="L749">
        <v>8</v>
      </c>
      <c r="M749">
        <v>0</v>
      </c>
      <c r="N749" t="b">
        <v>0</v>
      </c>
      <c r="O749" t="b">
        <v>0</v>
      </c>
      <c r="P749" t="b">
        <v>1</v>
      </c>
    </row>
    <row r="750" spans="1:16" x14ac:dyDescent="0.45">
      <c r="A750" t="s">
        <v>1071</v>
      </c>
      <c r="B750" s="2">
        <v>375</v>
      </c>
      <c r="D750" t="s">
        <v>416</v>
      </c>
      <c r="F750" t="s">
        <v>339</v>
      </c>
      <c r="G750" t="s">
        <v>154</v>
      </c>
      <c r="H750" s="1">
        <v>12.5</v>
      </c>
      <c r="I750" s="6">
        <v>13.75</v>
      </c>
      <c r="J750" s="6">
        <v>13.75</v>
      </c>
      <c r="K750" s="6">
        <v>13.25</v>
      </c>
      <c r="L750">
        <v>8</v>
      </c>
      <c r="M750">
        <v>0</v>
      </c>
      <c r="N750" t="b">
        <v>0</v>
      </c>
      <c r="O750" t="b">
        <v>0</v>
      </c>
      <c r="P750" t="b">
        <v>1</v>
      </c>
    </row>
    <row r="751" spans="1:16" x14ac:dyDescent="0.45">
      <c r="A751" t="s">
        <v>1072</v>
      </c>
      <c r="B751" s="2">
        <v>6000201</v>
      </c>
      <c r="D751" t="s">
        <v>34</v>
      </c>
      <c r="F751" t="s">
        <v>42</v>
      </c>
      <c r="G751" t="s">
        <v>65</v>
      </c>
      <c r="H751" s="1">
        <v>180</v>
      </c>
      <c r="I751" s="6">
        <v>28.08</v>
      </c>
      <c r="J751" s="6">
        <v>28.08</v>
      </c>
      <c r="K751" s="6">
        <v>190.8</v>
      </c>
      <c r="L751">
        <v>8</v>
      </c>
      <c r="M751">
        <v>0</v>
      </c>
      <c r="N751" t="b">
        <v>0</v>
      </c>
      <c r="O751" t="b">
        <v>0</v>
      </c>
      <c r="P751" t="b">
        <v>1</v>
      </c>
    </row>
  </sheetData>
  <autoFilter ref="A1:P751" xr:uid="{00000000-0001-0000-0000-000000000000}"/>
  <pageMargins left="0.7" right="0.7" top="0.75" bottom="0.75" header="0.3" footer="0.3"/>
  <ignoredErrors>
    <ignoredError sqref="C2:H2 C3:G3 I21 C122:D122 I160:J160 I163:I164 I180:K180 K181 I204 C211:D211 C344:G344 C549:D549 C595:D595 C598:D598 C633:D633 I653:K653 C678:D678 I714 C558 I295 Q1:AF29 K189:P189 I190:P190 L297:P297 K303:P303 I304:P304 L334:P334 I335:P340 L446:P446 K499:P499 I500:P503 K504:P504 I505:P507 L558:P558 I559:P561 L581:P581 K592:P592 I593:P594 K626:P626 I627:P629 K657:P657 I658:P662 K669:P669 K699:P700 I701:P703 K710:P711 I712:P713 L726:P726 I727:P729 K737:P737 I738:P744 J745:P745 I746:P751 K735:P735 I736:P736 K730:P730 I731:P734 J721:P721 I722:P725 K714:P714 I715:P720 K704:P705 K693:P693 I694:P698 K686:P686 I687:P692 K681:P683 I684:P685 K678:P678 I679:P680 K663:P665 I666:P668 K655:P655 I656:P656 M653:P653 I654:P654 K650:P650 I651:P652 K646:P647 I648:P649 K642:P643 I644:P645 K640:P640 I641:P641 K637:P637 I638:P639 K635:P635 I636:P636 K633:P633 I634:P634 K630:P630 I631:P632 K624:P624 I625:P625 K619:P622 I623:P623 K616:P616 I617:P618 K613:P613 I614:P615 K610:P610 I611:P612 K607:P607 I608:P609 K600:P602 I603:P606 K598:P598 I599:P599 K595:P595 I596:P597 K589:P589 I590:P591 K583:P584 I585:P588 K580:P580 I582:P582 J577:P577 K576:P576 I578:P579 K570:P570 K565:P565 I566:P569 K562:P563 I564:P564 K552:P555 I556:P557 K549:P549 I550:P551 K545:P545 I546:P548 K540:P541 I542:P544 K534:P535 I536:P539 K531:P532 K528:P528 I529:P530 K520:P520 I521:P527 K517:P518 I519:P519 K515:P515 J514:P514 I516:P516 J512:P512 K508:P508 I509:P509 K510:P511 I513:P513 K497:P497 I498:P498 K493:P494 K481:P486 K472:P473 I474:P480 K368:P372 I401:P401 K363:P365 K358:P361 K353:P353 I354:P357 K344:P344 I345:P352 K341:P342 I343:P343 K321:P323 I324:P333 K318:P319 I320:P320 I310:P317 M180:P181 M307:P309 K305:P305 I306:P306 K300:P301 I302:P302 K298:P298 I299:P299 K295:P296 K289:P289 I290:P294 K281:P281 I282:P288 K272:P273 I274:P280 K268:P268 I269:P271 L266:P266 I267:P267 K251:P262 J250:P250 I263:P265 K247:P247 I248:P249 K244:P245 I246:P246 K242:P242 I243:P243 K233:P233 I234:P241 J231:P231 I232:P232 J229:P229 K228:P228 J227:P227 I230:P230 K218:P219 I220:P226 K211:P211 I212:P217 J209:P209 I210:P210 K207:P207 I208:P208 K204:P204 I205:P206 K200:P200 I201:P203 I195:P199 K191:P194 I182:P188 J179:P179 J174:P176 K173:P173 I177:P178 K169:P169 I170:P172 I168:P168 K163:P167 L160:P160 I161:P162 K158:P158 I159:P159 K156:P156 I157:P157 K153:P154 I155:P155 K150:P151 I152:P152 K146:P146 I147:P149 K141:P141 I142:P145 K138:P138 I139:P140 K135:P135 I136:P137 K133:P133 I134:P134 K125:P127 I128:P132 K122:P123 I124:P124 K118:P119 I120:P121 K109:P110 I111:P117 K105:P105 I106:P108 K69:P70 I71:P75 K76:P76 I77:P79 K97:P98 I99:P104 K94:P95 I96:P96 I86:P93 K83:P85 K80:P81 I82:P82 K65:P67 I68:P68 K60:P63 I64:P64 K56:P58 I59:P59 K54:P54 I55:P55 K50:P50 I51:P53 K47:P48 I49:P49 K42:P43 I44:P46 K40:P40 I41:P41 K37:P37 I38:P39 K34:P35 I36:P36 J31:P31 L30:P30 I32:P33 K26:P26 I27:P29 K24:P24 I25:P25 K21:P22 I23:P23 L17:P17 L11:P11 K18:P19 I20:P20 K12:P16 K4:P10 L2:P3 I1:P1 A2:A274 Q34:AF34 R30:AF33 Q45:AF45 R35:AF44 Q51:AF51 R46:AF50 Q55:AF55 R52:AF54 Q64:AF64 R56:AF63 Q68:AF751 R65:AF67 C253:D262 F253:H262 A489:A540 C488:D491 I487:P492 A542:A751 C541:D541 F541:H541 A299:A487 C298:D298 F298:H298 C358:D372 I366:P367 I362:P362 I465:P471 C441:D467 I444:P445 I458 K462:P464 K454:P459 J460:P461 K441:P443 I452:P453 K447:P451 C495 I495:P496 I558:J558 C574 I571:P575 C674 E674:F674 I122 F211:H211 C341:D341 F341:H341 C514:D515 F514:H515 C532:D535 I533:P533 F549:H549 F595:H595 F598:H598 F633:H633 F678:H678 C705:D705 F705:H705 C707:D707 I706:P709 I670:P677 A276:A297 D85:H85 H674 F707:H707 F532:H535 F122:H122 C675:H677 E574:H574 E558:H558 E495:H495 F441:H467 F358:H372 F488:H491 C492:H494 A1:H1 C86:H121 C212:H252 C342:H343 C345:H357 C401:H401 C468:H487 C516:H531 C536:H540 C542:H548 C550:H557 C596:H597 C706:H706 C679:H704 C599:H632 C575:H594 C559:H573 C496:H513 C299:H306 C263:H297 C708:H751 C634:H673 C123:H210 C4:H84 K373:P374 K404:P440 L402:P402 L403:P403 K376:P400 K375:L375 N375:P375 C309:H340 C307:D307 F307:H307 C308:D308 F308:H308 C373:D400 F373:H400 C402:D440 F402:H4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438D-A508-4352-A67E-CE27F5EEEFF2}">
  <dimension ref="B3:D7"/>
  <sheetViews>
    <sheetView workbookViewId="0">
      <selection activeCell="E8" sqref="E8"/>
    </sheetView>
  </sheetViews>
  <sheetFormatPr defaultRowHeight="15.9" x14ac:dyDescent="0.45"/>
  <cols>
    <col min="3" max="3" width="12.42578125" bestFit="1" customWidth="1"/>
  </cols>
  <sheetData>
    <row r="3" spans="2:4" x14ac:dyDescent="0.45">
      <c r="B3" s="7">
        <v>46296</v>
      </c>
      <c r="C3" t="s">
        <v>1082</v>
      </c>
      <c r="D3">
        <v>10000</v>
      </c>
    </row>
    <row r="4" spans="2:4" x14ac:dyDescent="0.45">
      <c r="C4" t="s">
        <v>1080</v>
      </c>
      <c r="D4">
        <v>90</v>
      </c>
    </row>
    <row r="5" spans="2:4" x14ac:dyDescent="0.45">
      <c r="C5" t="s">
        <v>1083</v>
      </c>
      <c r="D5">
        <v>-10</v>
      </c>
    </row>
    <row r="6" spans="2:4" x14ac:dyDescent="0.45">
      <c r="C6" t="s">
        <v>1081</v>
      </c>
      <c r="D6">
        <v>-2080</v>
      </c>
    </row>
    <row r="7" spans="2:4" x14ac:dyDescent="0.45">
      <c r="B7" s="7">
        <v>46325</v>
      </c>
      <c r="C7" t="s">
        <v>1084</v>
      </c>
      <c r="D7">
        <f>D3+D4+D5+D6</f>
        <v>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C8EB1C9FA084F907B89C554A6B0AF" ma:contentTypeVersion="10" ma:contentTypeDescription="Create a new document." ma:contentTypeScope="" ma:versionID="0a562dfd221815acb7d9616cd0b8b7f2">
  <xsd:schema xmlns:xsd="http://www.w3.org/2001/XMLSchema" xmlns:xs="http://www.w3.org/2001/XMLSchema" xmlns:p="http://schemas.microsoft.com/office/2006/metadata/properties" xmlns:ns2="a2f39500-2432-4432-b45a-f87de2c65740" targetNamespace="http://schemas.microsoft.com/office/2006/metadata/properties" ma:root="true" ma:fieldsID="0b609a35c5c785a53250ba4460b79cae" ns2:_="">
    <xsd:import namespace="a2f39500-2432-4432-b45a-f87de2c6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39500-2432-4432-b45a-f87de2c65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9F81A-93A3-4129-BC87-6409EA69A3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DCE101-DBA0-4259-9B73-2B763D8AA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f39500-2432-4432-b45a-f87de2c65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620EAB-6368-4409-BD3F-4EFD03CA59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Tishanka - Cosmopolitan</cp:lastModifiedBy>
  <dcterms:created xsi:type="dcterms:W3CDTF">2026-10-09T08:08:35Z</dcterms:created>
  <dcterms:modified xsi:type="dcterms:W3CDTF">2026-10-15T13:35:52Z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0x010100B13C8EB1C9FA084F907B89C554A6B0AF</vt:lpwstr>
  </property>
</Properties>
</file>